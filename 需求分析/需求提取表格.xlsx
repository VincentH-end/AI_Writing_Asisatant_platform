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50549\Desktop\AI Writing Asistant\需求分析\"/>
    </mc:Choice>
  </mc:AlternateContent>
  <xr:revisionPtr revIDLastSave="0" documentId="13_ncr:1_{56E72C07-2B7C-439C-90E7-1060AF972BD1}" xr6:coauthVersionLast="47" xr6:coauthVersionMax="47" xr10:uidLastSave="{00000000-0000-0000-0000-000000000000}"/>
  <bookViews>
    <workbookView xWindow="-98" yWindow="-98" windowWidth="19396" windowHeight="11475" activeTab="4" xr2:uid="{00000000-000D-0000-FFFF-FFFF00000000}"/>
  </bookViews>
  <sheets>
    <sheet name="需求池" sheetId="1" r:id="rId1"/>
    <sheet name="方案与验证" sheetId="2" r:id="rId2"/>
    <sheet name="问题归纳" sheetId="3" r:id="rId3"/>
    <sheet name="用户问题矩阵" sheetId="4" r:id="rId4"/>
    <sheet name="任务统计" sheetId="5" r:id="rId5"/>
    <sheet name="任务步骤" sheetId="6" r:id="rId6"/>
    <sheet name="证据编码" sheetId="7" r:id="rId7"/>
    <sheet name="样本与口径" sheetId="8" r:id="rId8"/>
  </sheets>
  <calcPr calcId="191029"/>
</workbook>
</file>

<file path=xl/calcChain.xml><?xml version="1.0" encoding="utf-8"?>
<calcChain xmlns="http://schemas.openxmlformats.org/spreadsheetml/2006/main">
  <c r="H26" i="8" l="1"/>
  <c r="H25" i="8"/>
  <c r="H24" i="8"/>
  <c r="F48" i="6"/>
  <c r="F47" i="6"/>
  <c r="F46" i="6"/>
  <c r="D17" i="5" s="1"/>
  <c r="F45" i="6"/>
  <c r="F44" i="6"/>
  <c r="D16" i="5" s="1"/>
  <c r="F43" i="6"/>
  <c r="F42" i="6"/>
  <c r="F41" i="6"/>
  <c r="F40" i="6"/>
  <c r="F39" i="6"/>
  <c r="F38" i="6"/>
  <c r="F37" i="6"/>
  <c r="D13" i="5" s="1"/>
  <c r="F36" i="6"/>
  <c r="F35" i="6"/>
  <c r="F34" i="6"/>
  <c r="F33" i="6"/>
  <c r="F32" i="6"/>
  <c r="F31" i="6"/>
  <c r="F30" i="6"/>
  <c r="F29" i="6"/>
  <c r="F28" i="6"/>
  <c r="F27" i="6"/>
  <c r="F26" i="6"/>
  <c r="F25" i="6"/>
  <c r="F24" i="6"/>
  <c r="F23" i="6"/>
  <c r="F22" i="6"/>
  <c r="F21" i="6"/>
  <c r="F20" i="6"/>
  <c r="F19" i="6"/>
  <c r="F18" i="6"/>
  <c r="F17" i="6"/>
  <c r="F16" i="6"/>
  <c r="F15" i="6"/>
  <c r="F14" i="6"/>
  <c r="F13" i="6"/>
  <c r="F12" i="6"/>
  <c r="F11" i="6"/>
  <c r="F10" i="6"/>
  <c r="F9" i="6"/>
  <c r="F8" i="6"/>
  <c r="F7" i="6"/>
  <c r="F6" i="6"/>
  <c r="F5" i="6"/>
  <c r="F4" i="6"/>
  <c r="F3" i="6"/>
  <c r="F2" i="6"/>
  <c r="H17" i="5"/>
  <c r="G17" i="5"/>
  <c r="F17" i="5"/>
  <c r="E17" i="5"/>
  <c r="H16" i="5"/>
  <c r="G16" i="5"/>
  <c r="F16" i="5"/>
  <c r="E16" i="5"/>
  <c r="H15" i="5"/>
  <c r="G15" i="5"/>
  <c r="F15" i="5"/>
  <c r="E15" i="5"/>
  <c r="D15" i="5"/>
  <c r="H14" i="5"/>
  <c r="G14" i="5"/>
  <c r="F14" i="5"/>
  <c r="E14" i="5"/>
  <c r="D14" i="5"/>
  <c r="H13" i="5"/>
  <c r="G13" i="5"/>
  <c r="F13" i="5"/>
  <c r="E13" i="5"/>
  <c r="H12" i="5"/>
  <c r="G12" i="5"/>
  <c r="F12" i="5"/>
  <c r="E12" i="5"/>
  <c r="D12" i="5"/>
  <c r="H11" i="5"/>
  <c r="G11" i="5"/>
  <c r="F11" i="5"/>
  <c r="E11" i="5"/>
  <c r="H10" i="5"/>
  <c r="G10" i="5"/>
  <c r="F10" i="5"/>
  <c r="E10" i="5"/>
  <c r="D10" i="5"/>
  <c r="H9" i="5"/>
  <c r="G9" i="5"/>
  <c r="F9" i="5"/>
  <c r="E9" i="5"/>
  <c r="D9" i="5"/>
  <c r="H8" i="5"/>
  <c r="G8" i="5"/>
  <c r="F8" i="5"/>
  <c r="E8" i="5"/>
  <c r="D8" i="5"/>
  <c r="H7" i="5"/>
  <c r="G7" i="5"/>
  <c r="F7" i="5"/>
  <c r="E7" i="5"/>
  <c r="D7" i="5"/>
  <c r="H6" i="5"/>
  <c r="G6" i="5"/>
  <c r="F6" i="5"/>
  <c r="E6" i="5"/>
  <c r="D6" i="5"/>
  <c r="H5" i="5"/>
  <c r="G5" i="5"/>
  <c r="F5" i="5"/>
  <c r="E5" i="5"/>
  <c r="D5" i="5"/>
  <c r="H4" i="5"/>
  <c r="G4" i="5"/>
  <c r="F4" i="5"/>
  <c r="E4" i="5"/>
  <c r="D4" i="5"/>
  <c r="H3" i="5"/>
  <c r="G3" i="5"/>
  <c r="F3" i="5"/>
  <c r="E3" i="5"/>
  <c r="D3" i="5"/>
  <c r="H2" i="5"/>
  <c r="G2" i="5"/>
  <c r="F2" i="5"/>
  <c r="E2" i="5"/>
  <c r="D2" i="5"/>
  <c r="I11" i="3"/>
  <c r="H11" i="3"/>
  <c r="G11" i="3"/>
  <c r="F11" i="3"/>
  <c r="E11" i="3"/>
  <c r="I10" i="3"/>
  <c r="H10" i="3"/>
  <c r="G10" i="3"/>
  <c r="F10" i="3"/>
  <c r="E10" i="3"/>
  <c r="I9" i="3"/>
  <c r="H9" i="3"/>
  <c r="G9" i="3"/>
  <c r="F9" i="3"/>
  <c r="E9" i="3"/>
  <c r="I8" i="3"/>
  <c r="H8" i="3"/>
  <c r="G8" i="3"/>
  <c r="F8" i="3"/>
  <c r="E8" i="3"/>
  <c r="I7" i="3"/>
  <c r="H7" i="3"/>
  <c r="G7" i="3"/>
  <c r="F7" i="3"/>
  <c r="E7" i="3"/>
  <c r="I6" i="3"/>
  <c r="H6" i="3"/>
  <c r="G6" i="3"/>
  <c r="F6" i="3"/>
  <c r="E6" i="3"/>
  <c r="I5" i="3"/>
  <c r="H5" i="3"/>
  <c r="G5" i="3"/>
  <c r="F5" i="3"/>
  <c r="E5" i="3"/>
  <c r="I4" i="3"/>
  <c r="H4" i="3"/>
  <c r="G4" i="3"/>
  <c r="F4" i="3"/>
  <c r="E4" i="3"/>
  <c r="I3" i="3"/>
  <c r="H3" i="3"/>
  <c r="G3" i="3"/>
  <c r="F3" i="3"/>
  <c r="E3" i="3"/>
  <c r="I2" i="3"/>
  <c r="H2" i="3"/>
  <c r="G2" i="3"/>
  <c r="F2" i="3"/>
  <c r="E2" i="3"/>
  <c r="D11" i="5" l="1"/>
</calcChain>
</file>

<file path=xl/sharedStrings.xml><?xml version="1.0" encoding="utf-8"?>
<sst xmlns="http://schemas.openxmlformats.org/spreadsheetml/2006/main" count="1742" uniqueCount="994">
  <si>
    <t>需求编号</t>
  </si>
  <si>
    <t>用户需求</t>
  </si>
  <si>
    <t>适用用户</t>
  </si>
  <si>
    <t>触发情境</t>
  </si>
  <si>
    <t>期望结果</t>
  </si>
  <si>
    <t>问题编号</t>
  </si>
  <si>
    <t>证据编号</t>
  </si>
  <si>
    <t>验证优先级</t>
  </si>
  <si>
    <t>排序依据</t>
  </si>
  <si>
    <t>试验范围</t>
  </si>
  <si>
    <t>反例与边界</t>
  </si>
  <si>
    <t>研究状态</t>
  </si>
  <si>
    <t>N01</t>
  </si>
  <si>
    <t>准备可核对的当前上下文</t>
  </si>
  <si>
    <t>重复准备连续章节的作者</t>
  </si>
  <si>
    <t>开始新章节或场景辅助前</t>
  </si>
  <si>
    <t>快速选择本章有效资料并能删补，减少旧状态混入。</t>
  </si>
  <si>
    <t>P01 P02</t>
  </si>
  <si>
    <t>E017 E026 E060 E019</t>
  </si>
  <si>
    <t>优先验证</t>
  </si>
  <si>
    <t>有具体准备事件和近期回忆，适合做明确任务对照。</t>
  </si>
  <si>
    <t>核心试验</t>
  </si>
  <si>
    <t>U07零背景复制；U06只有局部两句，不需要全项目初始化。</t>
  </si>
  <si>
    <t>待真实研究</t>
  </si>
  <si>
    <t>N02</t>
  </si>
  <si>
    <t>按章节核对人物状态</t>
  </si>
  <si>
    <t>人物关系或知情时间复杂的作者</t>
  </si>
  <si>
    <t>安排对白或继续已有情节时</t>
  </si>
  <si>
    <t>确认角色当时的关系、目的和已知信息，并跳转原文。</t>
  </si>
  <si>
    <t>P02</t>
  </si>
  <si>
    <t>E026 E034 E036 E064</t>
  </si>
  <si>
    <t>U01与U03有明确过期或提前知情事件；时间边界可直接测。</t>
  </si>
  <si>
    <t>U08人物少且正文足够；U02对自动抽取主要是担忧。</t>
  </si>
  <si>
    <t>N03</t>
  </si>
  <si>
    <t>复核设定修改影响</t>
  </si>
  <si>
    <t>多别名多引用的复杂长篇作者</t>
  </si>
  <si>
    <t>调整规则或关键设定后</t>
  </si>
  <si>
    <t>找到可能受影响的段落逐条复核，知道哪些尚未确认。</t>
  </si>
  <si>
    <t>P03</t>
  </si>
  <si>
    <t>E030 E032 E062</t>
  </si>
  <si>
    <t>单次后果可能大，现有任务未完成覆盖确认；先测检索范围。</t>
  </si>
  <si>
    <t>独立对照试验</t>
  </si>
  <si>
    <t>U05两场景改动可手工快速完成；一个案例没有全量引用真值。</t>
  </si>
  <si>
    <t>N04</t>
  </si>
  <si>
    <t>局部采纳候选并撤销</t>
  </si>
  <si>
    <t>局部润色和分支选择作者</t>
  </si>
  <si>
    <t>比较候选或修改正文时</t>
  </si>
  <si>
    <t>只采纳认可的片段，保留原句和备选，并能撤回。</t>
  </si>
  <si>
    <t>P04</t>
  </si>
  <si>
    <t>E027 E061 E066 E071</t>
  </si>
  <si>
    <t>多种规模任务均出现选择保留行为，误覆盖的后果明确。</t>
  </si>
  <si>
    <t>已有流程已能选择和撤销；需求是交互约束，不能声称市场功能空白。</t>
  </si>
  <si>
    <t>N05</t>
  </si>
  <si>
    <t>确定少量可试写的下一步</t>
  </si>
  <si>
    <t>探索型新手和局部推进作者</t>
  </si>
  <si>
    <t>不知道下一场景如何开始时</t>
  </si>
  <si>
    <t>比较少量与人物动机相关的方向，能拆分合并并先试写。</t>
  </si>
  <si>
    <t>P05 P04</t>
  </si>
  <si>
    <t>E023 E038 E066 E075</t>
  </si>
  <si>
    <t>困扰集中在取舍与场景过大，方案选择行为可以测试。</t>
  </si>
  <si>
    <t>新手对照试验</t>
  </si>
  <si>
    <t>U08未使用AI且想自己练习；U02不希望长期管理大量树枝。</t>
  </si>
  <si>
    <t>N06</t>
  </si>
  <si>
    <t>用线索找到个人素材</t>
  </si>
  <si>
    <t>跨工具保存生活片段的作者</t>
  </si>
  <si>
    <t>想复用某条旧素材时</t>
  </si>
  <si>
    <t>按关键词日期或线索定位原记录，确认是否适合当前场景。</t>
  </si>
  <si>
    <t>P06</t>
  </si>
  <si>
    <t>E067 E025 E042</t>
  </si>
  <si>
    <t>后续验证</t>
  </si>
  <si>
    <t>一项未完成与一项回忆支持；需要更多真实失败事件。</t>
  </si>
  <si>
    <t>素材试验后置</t>
  </si>
  <si>
    <t>U05一分钟找到；U01素材不适配，检索改进未必有效。</t>
  </si>
  <si>
    <t>N07</t>
  </si>
  <si>
    <t>保留素材原文和改写版本</t>
  </si>
  <si>
    <t>使用个人生活素材的作者</t>
  </si>
  <si>
    <t>将原素材放入故事并调整语气时</t>
  </si>
  <si>
    <t>保留当时记录的措辞和出处，候选改写独立保存。</t>
  </si>
  <si>
    <t>P06 P04</t>
  </si>
  <si>
    <t>E042 E069</t>
  </si>
  <si>
    <t>有原文保留要求和正常复用事件；作为素材试验约束。</t>
  </si>
  <si>
    <t>素材功能约束</t>
  </si>
  <si>
    <t>保留不等于必须自动改写；U05主要靠自己调整。</t>
  </si>
  <si>
    <t>N08</t>
  </si>
  <si>
    <t>区分资料清单与实际依据</t>
  </si>
  <si>
    <t>需要核对规则或史料的作者</t>
  </si>
  <si>
    <t>检查辅助输出是否有依据时</t>
  </si>
  <si>
    <t>看见可核对来源，明确哪些只是提供过、哪些有段落关联、哪些不可确认。</t>
  </si>
  <si>
    <t>P07</t>
  </si>
  <si>
    <t>E028 E035 E065 E073</t>
  </si>
  <si>
    <t>两个不同任务均存在依据无法确认，且独立于复制负担。</t>
  </si>
  <si>
    <t>资料进入提示不证明模型实际使用；缺原出处时无法补足真实性。</t>
  </si>
  <si>
    <t>N09</t>
  </si>
  <si>
    <t>以最少录入开始创作</t>
  </si>
  <si>
    <t>小规模新手和轻量辅助作者</t>
  </si>
  <si>
    <t>第一次进入或开始局部任务时</t>
  </si>
  <si>
    <t>不必先填完整世界观，能从场景或选中段落开始并逐步补充。</t>
  </si>
  <si>
    <t>P10</t>
  </si>
  <si>
    <t>E039 E012 E015 E074</t>
  </si>
  <si>
    <t>多种用户表达负担，适合比较不同初始化步骤。</t>
  </si>
  <si>
    <t>核心交互约束</t>
  </si>
  <si>
    <t>U07前期维护有成本但后续顺畅；复杂长篇仍可能需完整资料。</t>
  </si>
  <si>
    <t>N10</t>
  </si>
  <si>
    <t>在局部辅助中保留人物口吻</t>
  </si>
  <si>
    <t>希望小范围润色的作者</t>
  </si>
  <si>
    <t>改写对白或描述时</t>
  </si>
  <si>
    <t>保持人物说话习惯和作者表达，调整范围由作者指定。</t>
  </si>
  <si>
    <t>P08</t>
  </si>
  <si>
    <t>E024 E011 E041 E023</t>
  </si>
  <si>
    <t>有回忆但观察没有运行模型，需作者评价与上下文对照。</t>
  </si>
  <si>
    <t>模型质量试验</t>
  </si>
  <si>
    <t>U05是历史停用；U07当前结果可接受；没有生成质量真值。</t>
  </si>
  <si>
    <t>N11</t>
  </si>
  <si>
    <t>迁移与导出保留作品资产</t>
  </si>
  <si>
    <t>拥有既有项目的作者</t>
  </si>
  <si>
    <t>试用新工具或退出时</t>
  </si>
  <si>
    <t>保留章序正文和所承诺的备注信息，并能导出可继续写的文件。</t>
  </si>
  <si>
    <t>P09</t>
  </si>
  <si>
    <t>E033 E013 E045 E055</t>
  </si>
  <si>
    <t>影响采用，需用实际小项目验证，不能承诺所有格式。</t>
  </si>
  <si>
    <t>采用条件试验</t>
  </si>
  <si>
    <t>只有顾虑或自述，无真实导入导出任务；格式支持未定。</t>
  </si>
  <si>
    <t>N12</t>
  </si>
  <si>
    <t>区分伏笔计划和已发生状态</t>
  </si>
  <si>
    <t>跨章节安排伏笔的作者</t>
  </si>
  <si>
    <t>查看埋设和预定回收时</t>
  </si>
  <si>
    <t>定位埋设与相关角色，看到待回收位置，避免把未来计划当发生。</t>
  </si>
  <si>
    <t>E063 E031</t>
  </si>
  <si>
    <t>单一任务已顺畅，适合作为状态结构的后续扩展。</t>
  </si>
  <si>
    <t>后置扩展</t>
  </si>
  <si>
    <t>U02现有流程180秒完成；无法证明需AI自动生成或更复杂技巧库。</t>
  </si>
  <si>
    <t>N13</t>
  </si>
  <si>
    <t>修改正文和状态前由作者确认</t>
  </si>
  <si>
    <t>使用辅助生成或审阅的作者</t>
  </si>
  <si>
    <t>系统提出状态或正文改动时</t>
  </si>
  <si>
    <t>看见依据与差异，选择确认拒绝或待查，避免推断直接变成事实。</t>
  </si>
  <si>
    <t>P04 P02</t>
  </si>
  <si>
    <t>E027 E031 E036</t>
  </si>
  <si>
    <t>基础约束</t>
  </si>
  <si>
    <t>明确控制要求；任何采用自动建议的原型都需满足。</t>
  </si>
  <si>
    <t>全程约束</t>
  </si>
  <si>
    <t>无本次自动更新错误记录；不能估计抽取准确率。</t>
  </si>
  <si>
    <t>N14</t>
  </si>
  <si>
    <t>断连后恢复草稿与选择记录</t>
  </si>
  <si>
    <t>进入真实作品试点的作者</t>
  </si>
  <si>
    <t>断网关闭或重新打开时</t>
  </si>
  <si>
    <t>恢复已保存正文候选和确认记录，知道最后成功保存点。</t>
  </si>
  <si>
    <t>E029</t>
  </si>
  <si>
    <t>真实稿件试点的可靠性要求，不能从模拟计时推定已具备。</t>
  </si>
  <si>
    <t>试点前工程检查</t>
  </si>
  <si>
    <t>单用户愿望，无丢稿事件；恢复能力尚未工程验证。</t>
  </si>
  <si>
    <t>N15</t>
  </si>
  <si>
    <t>按任务收起辅助区域</t>
  </si>
  <si>
    <t>偏向正文写作的作者</t>
  </si>
  <si>
    <t>从讨论切换到连续写作时</t>
  </si>
  <si>
    <t>把聊天区域收起并保留当前草稿，需要时再打开。</t>
  </si>
  <si>
    <t>E028 E043</t>
  </si>
  <si>
    <t>可用低成本布局对照验证，先不固化屏幕比例。</t>
  </si>
  <si>
    <t>界面对照试验</t>
  </si>
  <si>
    <t>只有偏好线索，固定3比2布局与尺寸未实际测试。</t>
  </si>
  <si>
    <t>N16</t>
  </si>
  <si>
    <t>区分个人素材与外部来源</t>
  </si>
  <si>
    <t>使用生活随笔或引用资料的作者</t>
  </si>
  <si>
    <t>把外部内容保存或用于故事时</t>
  </si>
  <si>
    <t>知道素材是个人记录还是外部摘录，保留来源与核对状态。</t>
  </si>
  <si>
    <t>P07 P06</t>
  </si>
  <si>
    <t>E043 E035</t>
  </si>
  <si>
    <t>进入素材或引用功能时需要保持来源类型；自动采集后置。</t>
  </si>
  <si>
    <t>只支持来源区分，未证明外部自动采集有价值。</t>
  </si>
  <si>
    <t>候选实现</t>
  </si>
  <si>
    <t>较轻替代方案</t>
  </si>
  <si>
    <t>验收条件</t>
  </si>
  <si>
    <t>验证编号</t>
  </si>
  <si>
    <t>责任角色</t>
  </si>
  <si>
    <t>章节目标和可编辑资料清单</t>
  </si>
  <si>
    <t>人工提示模板加原文链接</t>
  </si>
  <si>
    <t>选择第73章后只加入已确认关系；作者可移除或补充资料；保存输入清单。</t>
  </si>
  <si>
    <t>V01</t>
  </si>
  <si>
    <t>产品与设计</t>
  </si>
  <si>
    <t>手工确认的章节状态表加出处</t>
  </si>
  <si>
    <t>正文书签和时间线表</t>
  </si>
  <si>
    <t>第18章不能使用第20章才获知的信息；计划、人物说法和已确认事实分别标注。</t>
  </si>
  <si>
    <t>V02</t>
  </si>
  <si>
    <t>人工别名表和待复核清单</t>
  </si>
  <si>
    <t>关键词检索加章节备注</t>
  </si>
  <si>
    <t>包含已知的第19、27、41章；显示匹配理由与未复核状态；不能标成全面查完。</t>
  </si>
  <si>
    <t>V03</t>
  </si>
  <si>
    <t>句段差异对比和确认采纳</t>
  </si>
  <si>
    <t>复制候选到独立草稿</t>
  </si>
  <si>
    <t>可只采纳一句；拒绝不改正文；撤销后与采纳前原文一致，备选仍在。</t>
  </si>
  <si>
    <t>V04</t>
  </si>
  <si>
    <t>两至三个短方向加自由输入</t>
  </si>
  <si>
    <t>一条场景目标和人工提示</t>
  </si>
  <si>
    <t>作者可改写、组合或自写方向；保留未选方向；形成下一步动作，无需确定全书结局。</t>
  </si>
  <si>
    <t>V05</t>
  </si>
  <si>
    <t>原文日期线索的统一入口</t>
  </si>
  <si>
    <t>现有备忘录标签规范</t>
  </si>
  <si>
    <t>命中结果保留原句和记录日期；未命中显示未找到；不生成内容冒充旧记录。</t>
  </si>
  <si>
    <t>V06</t>
  </si>
  <si>
    <t>原记录只读引用加独立候选</t>
  </si>
  <si>
    <t>复制一份并附原文链接</t>
  </si>
  <si>
    <t>改写不覆盖原记录；可回到原句日期和出处；正常删改不记模型错误。</t>
  </si>
  <si>
    <t>输入资料清单加可跳转原文</t>
  </si>
  <si>
    <t>手工引用与待查标记</t>
  </si>
  <si>
    <t>未核实来源标待查；提供给模型的资料标提供过；无实际追踪不能标为已使用依据。</t>
  </si>
  <si>
    <t>V07</t>
  </si>
  <si>
    <t>正文或场景目标入口，字段可选</t>
  </si>
  <si>
    <t>按需创建表格或备注</t>
  </si>
  <si>
    <t>只给两句对白也能进入局部试验；无势力技能字段也能保存；复杂设定可后补。</t>
  </si>
  <si>
    <t>选中范围和口吻约束加对比</t>
  </si>
  <si>
    <t>只给改写建议不生成替换稿</t>
  </si>
  <si>
    <t>测试句保留明确语气约束；作者比较原句与候选；跨范围改写需重新确认。</t>
  </si>
  <si>
    <t>首轮仅声明并测试一种格式</t>
  </si>
  <si>
    <t>手工复制一章脱敏样本</t>
  </si>
  <si>
    <t>支持格式往返后章序正文一致；不支持项先显示并给迁移清单；无法导出不进入真实稿试点。</t>
  </si>
  <si>
    <t>V08</t>
  </si>
  <si>
    <t>产品与工程</t>
  </si>
  <si>
    <t>手工伏笔条目和计划回收标记</t>
  </si>
  <si>
    <t>正文书签加章节备忘</t>
  </si>
  <si>
    <t>第12章为已埋设，第46章为计划回收，写作确认前不能显示已回收。</t>
  </si>
  <si>
    <t>建议与已确认状态分开保存</t>
  </si>
  <si>
    <t>完全手工更新</t>
  </si>
  <si>
    <t>未确认建议不改正文及已确认状态；拒绝后原文一致；对白谎言不自动变为事实。</t>
  </si>
  <si>
    <t>保存状态与可恢复的本地草稿</t>
  </si>
  <si>
    <t>先仅用脱敏测试稿</t>
  </si>
  <si>
    <t>断连重开可恢复最后已确认保存内容；未保存部分明确提示，不能显示虚假已保存。</t>
  </si>
  <si>
    <t>工程与测试</t>
  </si>
  <si>
    <t>可收起辅助区</t>
  </si>
  <si>
    <t>独立页或按需抽屉</t>
  </si>
  <si>
    <t>收起再打开内容不丢；正文任务可完成；尺寸选择依据实测而不是偏好人数。</t>
  </si>
  <si>
    <t>V09</t>
  </si>
  <si>
    <t>来源类型加原链接或页码字段</t>
  </si>
  <si>
    <t>手工分类和待查标签</t>
  </si>
  <si>
    <t>个人记录与外部摘录分开；来源缺失标待查；禁止补造链接或页码。</t>
  </si>
  <si>
    <t>测试对象</t>
  </si>
  <si>
    <t>对照方法</t>
  </si>
  <si>
    <t>记录指标</t>
  </si>
  <si>
    <t>继续或修正条件</t>
  </si>
  <si>
    <t>关联需求</t>
  </si>
  <si>
    <t>反复准备连续章节者，另纳已有顺畅流程者</t>
  </si>
  <si>
    <t>同一篇脱敏小说，旧关系与当前关系并存。对照人工模板和可编辑清单，轮换先后顺序。</t>
  </si>
  <si>
    <t>准备耗时、背景搬运、旧状态混入、删补完成情况</t>
  </si>
  <si>
    <t>保留确认：能核对并修正输入；收益由同任务基线判断，不套用269秒。</t>
  </si>
  <si>
    <t>N01 N08</t>
  </si>
  <si>
    <t>产品研究</t>
  </si>
  <si>
    <t>关系复杂和知情时间敏感作者</t>
  </si>
  <si>
    <t>第18章知情、第20章获知和未来计划，以及角色说谎；先用手工真值。</t>
  </si>
  <si>
    <t>状态判定、原文定位、未确认修改、未来信息泄漏</t>
  </si>
  <si>
    <t>必须区分事实计划说法；任何未确认改动都需修复后复测。</t>
  </si>
  <si>
    <t>N02 N12 N13</t>
  </si>
  <si>
    <t>研究与工程</t>
  </si>
  <si>
    <t>有真实设定修改经历的复杂长篇作者</t>
  </si>
  <si>
    <t>建立已知完整引用集，包含别名和无关同名；对照关键词与人工别名清单。</t>
  </si>
  <si>
    <t>引用漏检、误报、逐条复核完成、修改前后核对耗时</t>
  </si>
  <si>
    <t>覆盖率分母用真值集合；是否自动化须结合漏检后果和工程成本。</t>
  </si>
  <si>
    <t>局部润色与连载作者，保留停用者</t>
  </si>
  <si>
    <t>提供原句候选和人物口吻说明；分别试选句、拒绝、撤销与自由改写。</t>
  </si>
  <si>
    <t>原文一致性、撤销准确性、采纳范围、作者口吻评价</t>
  </si>
  <si>
    <t>拒绝撤销不丢原文；模型质量由作者评估，不能只用采纳比例。</t>
  </si>
  <si>
    <t>N04 N10</t>
  </si>
  <si>
    <t>设计与测试</t>
  </si>
  <si>
    <t>新手分AI使用者和不使用者</t>
  </si>
  <si>
    <t>比较先填完整设定与先写场景目标，允许自主方向；少量候选为待测方案。</t>
  </si>
  <si>
    <t>首次试写步骤、开始写作时间、未选方案保留、负担反馈</t>
  </si>
  <si>
    <t>无需完整世界观也能试写；不使用AI者可以全程自主。</t>
  </si>
  <si>
    <t>N05 N09</t>
  </si>
  <si>
    <t>设计与研究</t>
  </si>
  <si>
    <t>有实际找不到素材者，另纳关键词检索顺畅者</t>
  </si>
  <si>
    <t>相同素材集含个人原句、有出处摘录和缺出处记录；对照现有检索与统一入口。</t>
  </si>
  <si>
    <t>定位是否正确、耗时、原文保留、来源类型和待查标记</t>
  </si>
  <si>
    <t>不得以新生成内容替代旧素材；改写和原记录独立，缺出处不补造。</t>
  </si>
  <si>
    <t>N06 N07 N16</t>
  </si>
  <si>
    <t>已建立AI项目且希望核对资料者</t>
  </si>
  <si>
    <t>已知输入清单、含引用锚点的输出和无法追踪的输出三种情况。</t>
  </si>
  <si>
    <t>参与者是否把提供过误认为实际使用、原文跳转正确性</t>
  </si>
  <si>
    <t>界面应准确区分提供过和可核对引用；不可确认不得显示已证实。</t>
  </si>
  <si>
    <t>带脱敏样稿的既有项目作者</t>
  </si>
  <si>
    <t>首轮一个明确格式；往返导入导出并模拟断连与重开。</t>
  </si>
  <si>
    <t>章序正文一致性、不支持内容清单、保存点恢复、未保存提示</t>
  </si>
  <si>
    <t>原稿试点前通过承诺范围内往返和恢复检查。</t>
  </si>
  <si>
    <t>N11 N14</t>
  </si>
  <si>
    <t>正文写作型与交互讨论型作者</t>
  </si>
  <si>
    <t>相同任务下比较固定区域、可收起区域与独立页，设备保持一致。</t>
  </si>
  <si>
    <t>正文任务完成、区域切换、误操作、注意力与偏好</t>
  </si>
  <si>
    <t>选择依任务表现与反馈，不用偏好人数确定三比二。</t>
  </si>
  <si>
    <t>主题</t>
  </si>
  <si>
    <t>归纳陈述</t>
  </si>
  <si>
    <t>问题性质</t>
  </si>
  <si>
    <t>E或T关联人数</t>
  </si>
  <si>
    <t>仅态度人数</t>
  </si>
  <si>
    <t>反例人数</t>
  </si>
  <si>
    <t>不适用人数</t>
  </si>
  <si>
    <t>未涉及人数</t>
  </si>
  <si>
    <t>影响和时间口径</t>
  </si>
  <si>
    <t>研究判断</t>
  </si>
  <si>
    <t>P01</t>
  </si>
  <si>
    <t>准备有效上下文</t>
  </si>
  <si>
    <t>连续章节准备时需要挑选并重复提供背景；不同规模任务的负担不同。</t>
  </si>
  <si>
    <t>准备负担</t>
  </si>
  <si>
    <t>U01近期回忆11次及以上；U02为3至5次；U04为6至10次，均不是错误次数。</t>
  </si>
  <si>
    <t>优先验证整套背景负担，保留局部场景入口。</t>
  </si>
  <si>
    <t>确认当前章节状态</t>
  </si>
  <si>
    <t>关系、目的和知情状态缺少生效边界，旧记录可能与当前正文不同步。</t>
  </si>
  <si>
    <t>已发生阻碍</t>
  </si>
  <si>
    <t>有明确事件，长期发生频率未知。</t>
  </si>
  <si>
    <t>状态要带章节与出处，保留计划和已发生的区别。</t>
  </si>
  <si>
    <t>复核修改影响</t>
  </si>
  <si>
    <t>改变设定后难确认哪些引用需要复核，别名与分散记录增加遗漏风险。</t>
  </si>
  <si>
    <t>U02不常改主线但担心单次漏检损失；不能用高频标准直接排除。</t>
  </si>
  <si>
    <t>先比较人工别名索引和待复核清单，批量改稿后置。</t>
  </si>
  <si>
    <t>保留采纳与撤销控制</t>
  </si>
  <si>
    <t>作者希望选句、保留原文、保存备选，并能撤回修改。</t>
  </si>
  <si>
    <t>控制要求</t>
  </si>
  <si>
    <t>多个任务已成功，证明该动作有价值，不证明现有工具都缺功能。</t>
  </si>
  <si>
    <t>作为基础交互约束，进一步测试采纳粒度与撤销。</t>
  </si>
  <si>
    <t>P05</t>
  </si>
  <si>
    <t>决定局部下一步</t>
  </si>
  <si>
    <t>过多或过大的方向增加选择负担，部分作者只需一个可试写的小场景。</t>
  </si>
  <si>
    <t>决策负担</t>
  </si>
  <si>
    <t>U04有一次约25分钟回忆；长期频率未知。</t>
  </si>
  <si>
    <t>比较少量方向与自主输入，数量上限须测试。</t>
  </si>
  <si>
    <t>定位并复用个人素材</t>
  </si>
  <si>
    <t>跨工具保存和缺少线索可能阻碍定位，但素材不适配与查找困难需分开。</t>
  </si>
  <si>
    <t>只有具体丢失事件可支持检索困难，7位保存者不是7位痛点用户。</t>
  </si>
  <si>
    <t>先保留原句日期和入口，再验证检索或插入辅助。</t>
  </si>
  <si>
    <t>检查依据与资料来源</t>
  </si>
  <si>
    <t>找到资料原文、把资料提供给模型、证明模型实际依据是不同问题。</t>
  </si>
  <si>
    <t>可核对性要求</t>
  </si>
  <si>
    <t>两类任务分别为240秒与80秒的部分成功，不能认定资料或模型错误。</t>
  </si>
  <si>
    <t>提供来源和资料清单，未知的实际使用标记为不可确认。</t>
  </si>
  <si>
    <t>保留人物口吻与表达</t>
  </si>
  <si>
    <t>局部改写或生成可能损失人物语气，作者仍需要手工调整和选择。</t>
  </si>
  <si>
    <t>质量期望</t>
  </si>
  <si>
    <t>U05历史半小时和当前AI分母分开；无本次模型生成质量测试。</t>
  </si>
  <si>
    <t>限制润色范围并采用作者对照评价，暂不承诺风格一致。</t>
  </si>
  <si>
    <t>保留现有资产与退出能力</t>
  </si>
  <si>
    <t>新工具的价值受资料搬迁和导出能力约束，已有流程顺畅者尤其敏感。</t>
  </si>
  <si>
    <t>采用阻力</t>
  </si>
  <si>
    <t>除自述外无实际迁移试验，真实转换损失未知。</t>
  </si>
  <si>
    <t>先明确支持格式，导入导出做往返核对。</t>
  </si>
  <si>
    <t>降低维护和界面负担</t>
  </si>
  <si>
    <t>强制录入完整设定或持续维护会打断创作，小项目更需要直接试写。</t>
  </si>
  <si>
    <t>维护负担与偏好</t>
  </si>
  <si>
    <t>U07前期整理一晚后流程顺畅，维护是否值得依场景变化。</t>
  </si>
  <si>
    <t>最少字段开始写，可选补充，聊天区域能收起。</t>
  </si>
  <si>
    <t>用户</t>
  </si>
  <si>
    <t>AI分组</t>
  </si>
  <si>
    <t>P01 准备有效上下文</t>
  </si>
  <si>
    <t>P02 确认当前章节状态</t>
  </si>
  <si>
    <t>P03 复核修改影响</t>
  </si>
  <si>
    <t>P04 保留采纳与撤销控制</t>
  </si>
  <si>
    <t>P05 决定局部下一步</t>
  </si>
  <si>
    <t>P06 定位并复用个人素材</t>
  </si>
  <si>
    <t>P07 检查依据与资料来源</t>
  </si>
  <si>
    <t>P08 保留人物口吻与表达</t>
  </si>
  <si>
    <t>P09 保留现有资产与退出能力</t>
  </si>
  <si>
    <t>P10 降低维护和界面负担</t>
  </si>
  <si>
    <t>U01</t>
  </si>
  <si>
    <t>高频AI</t>
  </si>
  <si>
    <t>E</t>
  </si>
  <si>
    <t>T</t>
  </si>
  <si>
    <t>R</t>
  </si>
  <si>
    <t>A</t>
  </si>
  <si>
    <t>U02</t>
  </si>
  <si>
    <t>低频AI</t>
  </si>
  <si>
    <t>M</t>
  </si>
  <si>
    <t>U03</t>
  </si>
  <si>
    <t>未使用AI</t>
  </si>
  <si>
    <t>N</t>
  </si>
  <si>
    <t>U04</t>
  </si>
  <si>
    <t>U05</t>
  </si>
  <si>
    <t>已停用AI</t>
  </si>
  <si>
    <t>U06</t>
  </si>
  <si>
    <t>U07</t>
  </si>
  <si>
    <t>U08</t>
  </si>
  <si>
    <t>E含正常完成事件，不等于未满足痛点；同用户按问题只计一次。</t>
  </si>
  <si>
    <t>U05在P08的T为历史经历；P01的N不进入当前AI背景准备统计。</t>
  </si>
  <si>
    <t>任务编号</t>
  </si>
  <si>
    <t>原记录结果</t>
  </si>
  <si>
    <t>秒</t>
  </si>
  <si>
    <t>切换次</t>
  </si>
  <si>
    <t>查找次</t>
  </si>
  <si>
    <t>搬运次</t>
  </si>
  <si>
    <t>错误项</t>
  </si>
  <si>
    <t>任务目标</t>
  </si>
  <si>
    <t>原完成条件</t>
  </si>
  <si>
    <t>原结果说明</t>
  </si>
  <si>
    <t>OBS-U01-T1</t>
  </si>
  <si>
    <t>成功</t>
  </si>
  <si>
    <t>准备第73章AI候选场景所需的当前人物关系与前文</t>
  </si>
  <si>
    <t>找到最新关系和前文摘要，放入草稿提示，不提交原稿</t>
  </si>
  <si>
    <t>提示准备完成；未运行模型。错误为旧表未更新，不是本次AI输出。</t>
  </si>
  <si>
    <t>OBS-U01-T2</t>
  </si>
  <si>
    <t>比较第73章两个剧情方向并保存选中的候选</t>
  </si>
  <si>
    <t>说明采用理由，保留另一方案，候选不覆盖正文</t>
  </si>
  <si>
    <t>选择完成；没有为了增加分支而请求更多方案。</t>
  </si>
  <si>
    <t>OBS-U02-T1</t>
  </si>
  <si>
    <t>部分成功</t>
  </si>
  <si>
    <t>修改通行规则后找到可能受影响的旧章节</t>
  </si>
  <si>
    <t>找到两处已知引用并检查道具别名；不自动改稿</t>
  </si>
  <si>
    <t>300秒停止，找到3处但无法确认是否完整；未完成覆盖复核。</t>
  </si>
  <si>
    <t>OBS-U02-T2</t>
  </si>
  <si>
    <t>找到第12章埋下的铜扣伏笔及计划回收位置</t>
  </si>
  <si>
    <t>找到埋设、关联角色和待回收章纲</t>
  </si>
  <si>
    <t>埋设与计划回收位置已明确；没有把待回收写成已发生。</t>
  </si>
  <si>
    <t>OBS-U03-T1</t>
  </si>
  <si>
    <t>确认人物在第18章是否已经知道账册被替换</t>
  </si>
  <si>
    <t>找出此前知情记录和原文，说明消息来源</t>
  </si>
  <si>
    <t>195秒内发现并修正时间状态错误；错误来自手工维护。</t>
  </si>
  <si>
    <t>OBS-U03-T2</t>
  </si>
  <si>
    <t>找到人物行程是否与集市开市时间冲突的资料依据</t>
  </si>
  <si>
    <t>找到行程记录及可核对的历史来源</t>
  </si>
  <si>
    <t>240秒停止；确认故事时间，但无法核对史料来源，记部分成功。</t>
  </si>
  <si>
    <t>OBS-U04-T1</t>
  </si>
  <si>
    <t>从现有三条剧情方向中选第5章开场并保留备选</t>
  </si>
  <si>
    <t>选一方向写出场景目标，保留其余方案，不要求完成正文</t>
  </si>
  <si>
    <t>180秒完成方案取舍；选中的目标为用户重新组合。</t>
  </si>
  <si>
    <t>OBS-U04-T2</t>
  </si>
  <si>
    <t>未完成</t>
  </si>
  <si>
    <t>找到一条与第5章车站场景相关的生活素材</t>
  </si>
  <si>
    <t>定位可用的旧素材，并说明如何进入当前场景</t>
  </si>
  <si>
    <t>300秒未找到预期素材；没有用新生成内容冒充旧素材。</t>
  </si>
  <si>
    <t>OBS-U05-T1</t>
  </si>
  <si>
    <t>找到上周记录的雨夜等车片段</t>
  </si>
  <si>
    <t>找到原文与日期，保留当时的措辞</t>
  </si>
  <si>
    <t>60秒完成；没有明显检索困难，是素材管理需求的反例。</t>
  </si>
  <si>
    <t>OBS-U05-T2</t>
  </si>
  <si>
    <t>把该素材放入第7章候选稿并保留原记录</t>
  </si>
  <si>
    <t>使用局部素材，原文不被覆盖，作者完成语气调整</t>
  </si>
  <si>
    <t>120秒完成局部使用；删改属正常创作，不记AI纠错或返工。</t>
  </si>
  <si>
    <t>OBS-U06-T1</t>
  </si>
  <si>
    <t>给一小段告别对白准备局部润色指令</t>
  </si>
  <si>
    <t>指定人物口吻与局部范围，不要求补全章设定</t>
  </si>
  <si>
    <t>100秒完成；仅1次局部文本搬运，未运行本次模型。</t>
  </si>
  <si>
    <t>OBS-U06-T2</t>
  </si>
  <si>
    <t>选择旧润色结果的一小段并撤回另一句修改</t>
  </si>
  <si>
    <t>只采纳认可的句子，能够回到原句</t>
  </si>
  <si>
    <t>130秒完成；以已有候选演示选择和撤销，不宣称验证模型效果。</t>
  </si>
  <si>
    <t>OBS-U07-T1</t>
  </si>
  <si>
    <t>使用已经整理的资料准备下一场景</t>
  </si>
  <si>
    <t>找到当前资料并给出创作指令，无需重复复制设定</t>
  </si>
  <si>
    <t>55秒完成，没有背景搬运；不代表所有上下文均被模型正确读取。</t>
  </si>
  <si>
    <t>OBS-U07-T2</t>
  </si>
  <si>
    <t>确认既有草稿中轨道站规则来自哪份资料</t>
  </si>
  <si>
    <t>定位规则原文并确认本次AI实际使用了该来源</t>
  </si>
  <si>
    <t>80秒定位原文，但无法验证实际引用，记部分成功而非模型引用错误。</t>
  </si>
  <si>
    <t>OBS-U08-T1</t>
  </si>
  <si>
    <t>找到第3个场景的主要人物与当前任务</t>
  </si>
  <si>
    <t>从现有草稿确认人物与送信目标，不要求完整人物卡</t>
  </si>
  <si>
    <t>70秒完成；作品规模小，人物资料查找并非明显阻碍。</t>
  </si>
  <si>
    <t>OBS-U08-T2</t>
  </si>
  <si>
    <t>从两条自行写的后续方向中确定一次试写</t>
  </si>
  <si>
    <t>明确一个小场景动作；不要求确定全书结局</t>
  </si>
  <si>
    <t>110秒完成局部推进；未测试AI生成和长期规划。</t>
  </si>
  <si>
    <t>步骤编号</t>
  </si>
  <si>
    <t>起点秒</t>
  </si>
  <si>
    <t>终点秒</t>
  </si>
  <si>
    <t>时长秒</t>
  </si>
  <si>
    <t>原记录操作摘要</t>
  </si>
  <si>
    <t>工具</t>
  </si>
  <si>
    <t>OBS-U01-T1-E01</t>
  </si>
  <si>
    <t>打开章纲，确认第73章冲突目标</t>
  </si>
  <si>
    <t>Word</t>
  </si>
  <si>
    <t>OBS-U01-T1-E02</t>
  </si>
  <si>
    <t>切到关系表发现记录仍停在第69章</t>
  </si>
  <si>
    <t>Excel</t>
  </si>
  <si>
    <t>OBS-U01-T1-E03</t>
  </si>
  <si>
    <t>返回第71章找到决裂段落，复制摘要与章纲</t>
  </si>
  <si>
    <t>OBS-U01-T1-E04</t>
  </si>
  <si>
    <t>切到AI草稿框并补入最新关系，标明禁止和解</t>
  </si>
  <si>
    <t>DeepSeek</t>
  </si>
  <si>
    <t>OBS-U01-T2-E01</t>
  </si>
  <si>
    <t>查看自己先前保存的两个草稿方向</t>
  </si>
  <si>
    <t>OBS-U01-T2-E02</t>
  </si>
  <si>
    <t>核对是否违反第71章的决裂状态</t>
  </si>
  <si>
    <t>OBS-U01-T2-E03</t>
  </si>
  <si>
    <t>选对峙而非合作，将另一方案移入备选区</t>
  </si>
  <si>
    <t>OBS-U02-T1-E01</t>
  </si>
  <si>
    <t>用正式道具名搜索，定位第19章</t>
  </si>
  <si>
    <t>Scrivener</t>
  </si>
  <si>
    <t>OBS-U02-T1-E02</t>
  </si>
  <si>
    <t>修改第19章备注，搜索第41章渡河段落</t>
  </si>
  <si>
    <t>OBS-U02-T1-E03</t>
  </si>
  <si>
    <t>想到另一个称呼，回设定页查别名</t>
  </si>
  <si>
    <t>OBS-U02-T1-E04</t>
  </si>
  <si>
    <t>用别名定位第27章；仍不确定有无其他称呼</t>
  </si>
  <si>
    <t>OBS-U02-T2-E01</t>
  </si>
  <si>
    <t>在便签里找到伏笔名与第12章记录</t>
  </si>
  <si>
    <t>OBS-U02-T2-E02</t>
  </si>
  <si>
    <t>检查第12章正文，确认交给谁</t>
  </si>
  <si>
    <t>OBS-U02-T2-E03</t>
  </si>
  <si>
    <t>在第46章章纲补入回收提醒，标记尚未写作</t>
  </si>
  <si>
    <t>OBS-U03-T1-E01</t>
  </si>
  <si>
    <t>查Excel知情表，看到第18章行已填知情</t>
  </si>
  <si>
    <t>OBS-U03-T1-E02</t>
  </si>
  <si>
    <t>打开Word核对前一章，未找到获知过程</t>
  </si>
  <si>
    <t>OBS-U03-T1-E03</t>
  </si>
  <si>
    <t>回表格追查，发现第20章信息被提前填写，修正该行</t>
  </si>
  <si>
    <t>OBS-U03-T2-E01</t>
  </si>
  <si>
    <t>打开第18章与行程表</t>
  </si>
  <si>
    <t>OBS-U03-T2-E02</t>
  </si>
  <si>
    <t>查Excel时间线后定位开市摘记</t>
  </si>
  <si>
    <t>OBS-U03-T2-E03</t>
  </si>
  <si>
    <t>打开扫描摘记，只有转述没有原出处</t>
  </si>
  <si>
    <t>纸质摘记照片</t>
  </si>
  <si>
    <t>OBS-U04-T1-E01</t>
  </si>
  <si>
    <t>看豆包旧对话，找到三条方向</t>
  </si>
  <si>
    <t>豆包</t>
  </si>
  <si>
    <t>OBS-U04-T1-E02</t>
  </si>
  <si>
    <t>切到Obsidian，按人物动机排除一条</t>
  </si>
  <si>
    <t>Obsidian</t>
  </si>
  <si>
    <t>OBS-U04-T1-E03</t>
  </si>
  <si>
    <t>将两条各取一点，写成自己的场景目标</t>
  </si>
  <si>
    <t>OBS-U04-T2-E01</t>
  </si>
  <si>
    <t>搜索手机备忘录里的车站关键词</t>
  </si>
  <si>
    <t>手机备忘录</t>
  </si>
  <si>
    <t>OBS-U04-T2-E02</t>
  </si>
  <si>
    <t>翻到一个旧片段，但它写的是便利店</t>
  </si>
  <si>
    <t>OBS-U04-T2-E03</t>
  </si>
  <si>
    <t>切到Obsidian找另一个素材目录</t>
  </si>
  <si>
    <t>OBS-U04-T2-E04</t>
  </si>
  <si>
    <t>回备忘录按日期翻找，时限结束</t>
  </si>
  <si>
    <t>OBS-U05-T1-E01</t>
  </si>
  <si>
    <t>在备忘录输入等车，定位上周片段</t>
  </si>
  <si>
    <t>OBS-U05-T1-E02</t>
  </si>
  <si>
    <t>读取日期与原句，确认是目标片段</t>
  </si>
  <si>
    <t>OBS-U05-T2-E01</t>
  </si>
  <si>
    <t>复制素材到Word候选段落</t>
  </si>
  <si>
    <t>OBS-U05-T2-E02</t>
  </si>
  <si>
    <t>删掉一句不合人物语气的描述</t>
  </si>
  <si>
    <t>OBS-U05-T2-E03</t>
  </si>
  <si>
    <t>保留原素材，给候选段落加日期备注</t>
  </si>
  <si>
    <t>OBS-U06-T1-E01</t>
  </si>
  <si>
    <t>选中作家助手里两句对白</t>
  </si>
  <si>
    <t>作家助手</t>
  </si>
  <si>
    <t>OBS-U06-T1-E02</t>
  </si>
  <si>
    <t>复制到豆包草稿，补一句人物口吻说明</t>
  </si>
  <si>
    <t>OBS-U06-T1-E03</t>
  </si>
  <si>
    <t>注明只润色这两句，不推进剧情</t>
  </si>
  <si>
    <t>OBS-U06-T2-E01</t>
  </si>
  <si>
    <t>查看此前保存的润色候选与原句</t>
  </si>
  <si>
    <t>OBS-U06-T2-E02</t>
  </si>
  <si>
    <t>采纳一句，另一句保留原文</t>
  </si>
  <si>
    <t>OBS-U06-T2-E03</t>
  </si>
  <si>
    <t>对采纳句尝试撤销，再重新确认</t>
  </si>
  <si>
    <t>OBS-U07-T1-E01</t>
  </si>
  <si>
    <t>在Notion确认下一场景摘要</t>
  </si>
  <si>
    <t>Notion</t>
  </si>
  <si>
    <t>OBS-U07-T1-E02</t>
  </si>
  <si>
    <t>打开既有ChatGPT项目会话，写当前目标</t>
  </si>
  <si>
    <t>ChatGPT</t>
  </si>
  <si>
    <t>OBS-U07-T2-E01</t>
  </si>
  <si>
    <t>在Notion搜索规则，定位原文</t>
  </si>
  <si>
    <t>OBS-U07-T2-E02</t>
  </si>
  <si>
    <t>回ChatGPT看旧草稿，无法从文字确认用了哪份资料</t>
  </si>
  <si>
    <t>OBS-U08-T1-E01</t>
  </si>
  <si>
    <t>打开Word，滚动到场景标题</t>
  </si>
  <si>
    <t>OBS-U08-T1-E02</t>
  </si>
  <si>
    <t>看两段正文并写一句送信目标</t>
  </si>
  <si>
    <t>OBS-U08-T2-E01</t>
  </si>
  <si>
    <t>在备忘录看送错信与寻找地址两个想法</t>
  </si>
  <si>
    <t>OBS-U08-T2-E02</t>
  </si>
  <si>
    <t>选择先问路，回Word写两句开头</t>
  </si>
  <si>
    <t>OBS-U08-T2-E03</t>
  </si>
  <si>
    <t>保留另一个想法，没有删除</t>
  </si>
  <si>
    <t>来源定位</t>
  </si>
  <si>
    <t>原文页</t>
  </si>
  <si>
    <t>资料类型</t>
  </si>
  <si>
    <t>时间口径</t>
  </si>
  <si>
    <t>来源摘要</t>
  </si>
  <si>
    <t>作用</t>
  </si>
  <si>
    <t>分析解释</t>
  </si>
  <si>
    <t>E001</t>
  </si>
  <si>
    <t>BQ-U01-Q16</t>
  </si>
  <si>
    <t>偏好</t>
  </si>
  <si>
    <t>未指定频率</t>
  </si>
  <si>
    <t>让本次生成使用人物在这一章的状态，而不是最初的人设。</t>
  </si>
  <si>
    <t>支持</t>
  </si>
  <si>
    <t>改善愿望用于明确目标；仍需具体事件与试验支持。</t>
  </si>
  <si>
    <t>E002</t>
  </si>
  <si>
    <t>BQ-U01-Q17</t>
  </si>
  <si>
    <t>取舍态度</t>
  </si>
  <si>
    <t>先减少每次生成前重复整理上下文；关系图可以之后再说。</t>
  </si>
  <si>
    <t>同一用户的第二条态度不另算一位用户。</t>
  </si>
  <si>
    <t>E003</t>
  </si>
  <si>
    <t>BQ-U02-Q16</t>
  </si>
  <si>
    <t>知道改动可能影响哪些段落，并能逐条复核。</t>
  </si>
  <si>
    <t>E004</t>
  </si>
  <si>
    <t>BQ-U02-Q17</t>
  </si>
  <si>
    <t>先定位修改影响；不希望系统自动改完几十章。</t>
  </si>
  <si>
    <t>E005</t>
  </si>
  <si>
    <t>BQ-U03-Q16</t>
  </si>
  <si>
    <t>按章节确认角色当时知道什么，并找到原文依据。</t>
  </si>
  <si>
    <t>P02 P07</t>
  </si>
  <si>
    <t>E006</t>
  </si>
  <si>
    <t>BQ-U03-Q17</t>
  </si>
  <si>
    <t>优先核对人物知情状态；人物名字和年龄通常不难找。</t>
  </si>
  <si>
    <t>E007</t>
  </si>
  <si>
    <t>BQ-U04-Q16</t>
  </si>
  <si>
    <t>少量方案要说明与当前人物动机的关系，能先留作备选。</t>
  </si>
  <si>
    <t>E008</t>
  </si>
  <si>
    <t>BQ-U04-Q17</t>
  </si>
  <si>
    <t>先让我能选下一步；完整卷纲会让我更难开始。</t>
  </si>
  <si>
    <t>E009</t>
  </si>
  <si>
    <t>BQ-U05-Q16</t>
  </si>
  <si>
    <t>快速找到自己的生活片段，保留原来的语气与出处。</t>
  </si>
  <si>
    <t>P06 P10</t>
  </si>
  <si>
    <t>E010</t>
  </si>
  <si>
    <t>BQ-U05-Q17</t>
  </si>
  <si>
    <t>先把素材保存和找到做好；不希望为AI维护很多字段。</t>
  </si>
  <si>
    <t>E011</t>
  </si>
  <si>
    <t>BQ-U06-Q16</t>
  </si>
  <si>
    <t>局部润色时保留人物口吻并能只采纳一小段。</t>
  </si>
  <si>
    <t>P04 P08</t>
  </si>
  <si>
    <t>E012</t>
  </si>
  <si>
    <t>BQ-U06-Q17</t>
  </si>
  <si>
    <t>先做方便的局部修改；不想为每章重新建一套资料。</t>
  </si>
  <si>
    <t>E013</t>
  </si>
  <si>
    <t>BQ-U07-Q16</t>
  </si>
  <si>
    <t>查看本次用了哪些资料；只有能直接导入现有资料才考虑迁移。</t>
  </si>
  <si>
    <t>P07 P09</t>
  </si>
  <si>
    <t>E014</t>
  </si>
  <si>
    <t>BQ-U07-Q17</t>
  </si>
  <si>
    <t>可解释的上下文来源；目前重复输入不是我的主要困难。</t>
  </si>
  <si>
    <t>E015</t>
  </si>
  <si>
    <t>BQ-U08-Q16</t>
  </si>
  <si>
    <t>小规模试写后能看到后续方向，不需要先填完整世界观。</t>
  </si>
  <si>
    <t>P05 P10</t>
  </si>
  <si>
    <t>E016</t>
  </si>
  <si>
    <t>BQ-U08-Q17</t>
  </si>
  <si>
    <t>先帮我把一个场景写出来；现在人物不多，关系图用不上。</t>
  </si>
  <si>
    <t>E017</t>
  </si>
  <si>
    <t>BQ-U01-Q11</t>
  </si>
  <si>
    <t>频率回忆</t>
  </si>
  <si>
    <t>最近一个月</t>
  </si>
  <si>
    <t>手工复制背景回忆区间为11次及以上</t>
  </si>
  <si>
    <t>搬运次数与错误次数不同；U06低负担不能等同整套背景痛点。</t>
  </si>
  <si>
    <t>E018</t>
  </si>
  <si>
    <t>BQ-U02-Q11</t>
  </si>
  <si>
    <t>手工复制背景回忆区间为3至5次</t>
  </si>
  <si>
    <t>E019</t>
  </si>
  <si>
    <t>BQ-U04-Q11</t>
  </si>
  <si>
    <t>手工复制背景回忆区间为6至10次</t>
  </si>
  <si>
    <t>E020</t>
  </si>
  <si>
    <t>BQ-U06-Q11</t>
  </si>
  <si>
    <t>手工复制背景回忆区间为1至2次</t>
  </si>
  <si>
    <t>边界</t>
  </si>
  <si>
    <t>E021</t>
  </si>
  <si>
    <t>BQ-U07-Q11</t>
  </si>
  <si>
    <t>手工复制背景回忆区间为0次</t>
  </si>
  <si>
    <t>反例</t>
  </si>
  <si>
    <t>E022</t>
  </si>
  <si>
    <t>BQ-U05-Q6</t>
  </si>
  <si>
    <t>困难回忆</t>
  </si>
  <si>
    <t>时间冲突待核</t>
  </si>
  <si>
    <t>自述花约半小时删掉AI解释性句子。</t>
  </si>
  <si>
    <t>历史补充</t>
  </si>
  <si>
    <t>访谈Q7明确为五个月前，暂归历史，不计近期AI。</t>
  </si>
  <si>
    <t>E023</t>
  </si>
  <si>
    <t>BQ-U04-Q9</t>
  </si>
  <si>
    <t>事件回忆</t>
  </si>
  <si>
    <t>最近一次AI任务</t>
  </si>
  <si>
    <t>三轮共九个开场方向，没有完整采用。</t>
  </si>
  <si>
    <t>P05 P08</t>
  </si>
  <si>
    <t>未完整采用不等于没有局部价值。</t>
  </si>
  <si>
    <t>E024</t>
  </si>
  <si>
    <t>BQ-U06-Q9</t>
  </si>
  <si>
    <t>改回口语后使用两句告别对白。</t>
  </si>
  <si>
    <t>关注局部结果和人物口吻，不推断需要完整世界观管理。</t>
  </si>
  <si>
    <t>E025</t>
  </si>
  <si>
    <t>BQ-U07-Q14</t>
  </si>
  <si>
    <t>近三个月</t>
  </si>
  <si>
    <t>某次素材未成功使用的主要原因是找不到素材。</t>
  </si>
  <si>
    <t>没有具体操作计时，不能与U04观察当作相同失败程度。</t>
  </si>
  <si>
    <t>E026</t>
  </si>
  <si>
    <t>IV-U01-Q4</t>
  </si>
  <si>
    <t>最近一次修改</t>
  </si>
  <si>
    <t>第71章改为决裂，章纲已改但关系表未及时更新。</t>
  </si>
  <si>
    <t>P02 P03</t>
  </si>
  <si>
    <t>同步问题可能同时影响状态与修改复核，人数不重复累加。</t>
  </si>
  <si>
    <t>E027</t>
  </si>
  <si>
    <t>IV-U01-Q10</t>
  </si>
  <si>
    <t>控制态度</t>
  </si>
  <si>
    <t>未指定</t>
  </si>
  <si>
    <t>背叛死亡和解由作者选；候选可保存，正文替换须先确认。</t>
  </si>
  <si>
    <t>确认要求不代表本次发生了未授权覆盖。</t>
  </si>
  <si>
    <t>E028</t>
  </si>
  <si>
    <t>IV-U01-Q14</t>
  </si>
  <si>
    <t>功能偏好</t>
  </si>
  <si>
    <t>想查看、删补本次资料；正文写作时希望折起聊天区。</t>
  </si>
  <si>
    <t>P01 P07 P10</t>
  </si>
  <si>
    <t>资料透明性与界面占比拆开验证。</t>
  </si>
  <si>
    <t>IV-U01-Q15</t>
  </si>
  <si>
    <t>可靠性偏好</t>
  </si>
  <si>
    <t>希望断网不丢稿，候选和正文分清楚；试原型用脱敏小项目。</t>
  </si>
  <si>
    <t>P04 P09</t>
  </si>
  <si>
    <t>只支持恢复要求，未观察真实丢稿。</t>
  </si>
  <si>
    <t>E030</t>
  </si>
  <si>
    <t>IV-U02-Q4</t>
  </si>
  <si>
    <t>改通行能力后查约40分钟，正式名检索可能漏掉俗称。</t>
  </si>
  <si>
    <t>回忆时间不并入观察300秒。</t>
  </si>
  <si>
    <t>E031</t>
  </si>
  <si>
    <t>IV-U02-Q10</t>
  </si>
  <si>
    <t>修改建议指出段落再判断；担心自动卡把计划当经历。</t>
  </si>
  <si>
    <t>P02 P04</t>
  </si>
  <si>
    <t>自动抽取错误是担忧，未获得准确率数据。</t>
  </si>
  <si>
    <t>E032</t>
  </si>
  <si>
    <t>IV-U02-Q12</t>
  </si>
  <si>
    <t>影响判断</t>
  </si>
  <si>
    <t>低频自述</t>
  </si>
  <si>
    <t>不常改主线，但更重视漏检一次后的返工损失。</t>
  </si>
  <si>
    <t>低频高后果问题仍应优先验证。</t>
  </si>
  <si>
    <t>E033</t>
  </si>
  <si>
    <t>IV-U02-Q13</t>
  </si>
  <si>
    <t>迁移顾虑</t>
  </si>
  <si>
    <t>担心迁移时丢脚注便签层级。</t>
  </si>
  <si>
    <t>未执行导入试验，不宣称真实格式丢失。</t>
  </si>
  <si>
    <t>E034</t>
  </si>
  <si>
    <t>IV-U03-Q4</t>
  </si>
  <si>
    <t>把消息推迟到第20章，知情表没有同步。</t>
  </si>
  <si>
    <t>人工状态维护同样存在问题，不全归因于AI。</t>
  </si>
  <si>
    <t>E035</t>
  </si>
  <si>
    <t>IV-U03-Q10</t>
  </si>
  <si>
    <t>核对要求</t>
  </si>
  <si>
    <t>判断知情状态应指出章节；历史资料没有来源只能待查。</t>
  </si>
  <si>
    <t>P07 P04</t>
  </si>
  <si>
    <t>产品不能为缺失史料补造出处。</t>
  </si>
  <si>
    <t>E036</t>
  </si>
  <si>
    <t>IV-U03-Q15</t>
  </si>
  <si>
    <t>解释边界</t>
  </si>
  <si>
    <t>未来情节可能故意让角色撒谎，不能把对白等同真实状态。</t>
  </si>
  <si>
    <t>状态抽取需区分叙述事实、人物说法与计划。</t>
  </si>
  <si>
    <t>E037</t>
  </si>
  <si>
    <t>IV-U04-Q4</t>
  </si>
  <si>
    <t>主角目标已从找人改送物，复制旧对话可能混入旧目的。</t>
  </si>
  <si>
    <t>目的变化也是状态，不限于关系。</t>
  </si>
  <si>
    <t>E038</t>
  </si>
  <si>
    <t>IV-U04-Q10</t>
  </si>
  <si>
    <t>一个方案只取前半段也可以，核心结局还不想确定。</t>
  </si>
  <si>
    <t>P04 P05</t>
  </si>
  <si>
    <t>拆分和合并不等于需要完整剧情树。</t>
  </si>
  <si>
    <t>E039</t>
  </si>
  <si>
    <t>IV-U04-Q13</t>
  </si>
  <si>
    <t>采用条件</t>
  </si>
  <si>
    <t>不愿先填整套世界观，希望一个页面先开始写。</t>
  </si>
  <si>
    <t>把必填字段作为待测变量，不能推断零维护可行。</t>
  </si>
  <si>
    <t>E040</t>
  </si>
  <si>
    <t>IV-U05-Q4</t>
  </si>
  <si>
    <t>小规模边界</t>
  </si>
  <si>
    <t>作品改动只有两个场景，自己改快；长清单反而可能麻烦。</t>
  </si>
  <si>
    <t>复核强度应与改动范围匹配。</t>
  </si>
  <si>
    <t>E041</t>
  </si>
  <si>
    <t>IV-U05-Q7</t>
  </si>
  <si>
    <t>停用经历</t>
  </si>
  <si>
    <t>五个月前</t>
  </si>
  <si>
    <t>五个月前AI对白太完整，删约半小时后未采用；近期未用。</t>
  </si>
  <si>
    <t>用于解释停用，不纳入当前AI用户5人。</t>
  </si>
  <si>
    <t>E042</t>
  </si>
  <si>
    <t>IV-U05-Q10</t>
  </si>
  <si>
    <t>原文保留要求</t>
  </si>
  <si>
    <t>不希望素材先被改得更文学，否则丢失当时记录的意义。</t>
  </si>
  <si>
    <t>保留原始素材和使用后的候选稿。</t>
  </si>
  <si>
    <t>E043</t>
  </si>
  <si>
    <t>IV-U05-Q14</t>
  </si>
  <si>
    <t>来源和界面偏好</t>
  </si>
  <si>
    <t>希望区分外部内容与自己的随笔；固定Agent区域碍事。</t>
  </si>
  <si>
    <t>P07 P10</t>
  </si>
  <si>
    <t>只支持来源分区与收起，不验证自动采集价值。</t>
  </si>
  <si>
    <t>E044</t>
  </si>
  <si>
    <t>IV-U01-Q8</t>
  </si>
  <si>
    <t>近期AI经历</t>
  </si>
  <si>
    <t>人物关系错时重发资料，文风不对通常自己改。</t>
  </si>
  <si>
    <t>口吻和设定错误分开，不把正常修改都当作返工。</t>
  </si>
  <si>
    <t>E045</t>
  </si>
  <si>
    <t>IV-U01-Q13</t>
  </si>
  <si>
    <t>如果导入丢章序，宁可不换工具。</t>
  </si>
  <si>
    <t>仅为迁移顾虑，尚无真实导入丢失事件。</t>
  </si>
  <si>
    <t>E046</t>
  </si>
  <si>
    <t>BQ-U01-Q14</t>
  </si>
  <si>
    <t>失败原因回忆</t>
  </si>
  <si>
    <t>某素材未用的原因是素材不适合当前作品。</t>
  </si>
  <si>
    <t>不适配不能等同检索困难。</t>
  </si>
  <si>
    <t>E047</t>
  </si>
  <si>
    <t>BQ-U02-Q14</t>
  </si>
  <si>
    <t>复用困难回忆</t>
  </si>
  <si>
    <t>某素材未用是因为不知道适合放在哪个剧情中。</t>
  </si>
  <si>
    <t>定位和剧情适配属于不同环节。</t>
  </si>
  <si>
    <t>E048</t>
  </si>
  <si>
    <t>IV-U02-Q3</t>
  </si>
  <si>
    <t>管理负担偏好</t>
  </si>
  <si>
    <t>不愿把整本书变成很多树枝，否则每次都在管理分支。</t>
  </si>
  <si>
    <t>不支持完整剧情树的统一入口。</t>
  </si>
  <si>
    <t>E049</t>
  </si>
  <si>
    <t>IV-U02-Q14</t>
  </si>
  <si>
    <t>核对与界面偏好</t>
  </si>
  <si>
    <t>想看别名时间位置和段落差异，不希望技巧模板被强行套用。</t>
  </si>
  <si>
    <t>原因和段落关联可核对，技术追踪实际使用仍需验证。</t>
  </si>
  <si>
    <t>E050</t>
  </si>
  <si>
    <t>IV-U03-Q14</t>
  </si>
  <si>
    <t>任务和录入偏好</t>
  </si>
  <si>
    <t>优先时间边界原文定位，设定字段最好自定义。</t>
  </si>
  <si>
    <t>不是每类小说都需技能与势力字段。</t>
  </si>
  <si>
    <t>E051</t>
  </si>
  <si>
    <t>IV-U04-Q8</t>
  </si>
  <si>
    <t>候选把局部进站写成揭露世界真相，且对白过于成熟。</t>
  </si>
  <si>
    <t>回忆修改约25分钟，未现场验证输出。</t>
  </si>
  <si>
    <t>E052</t>
  </si>
  <si>
    <t>IV-U04-Q14</t>
  </si>
  <si>
    <t>素材来源想看原句，不想写之前挑很多技巧或看大量统计。</t>
  </si>
  <si>
    <t>P06 P07 P10</t>
  </si>
  <si>
    <t>保留原句和按需界面，不推断智能采集价值。</t>
  </si>
  <si>
    <t>E053</t>
  </si>
  <si>
    <t>IV-U05-Q3</t>
  </si>
  <si>
    <t>创作路径偏好</t>
  </si>
  <si>
    <t>完整规划会把最想写的部分耗掉，先从人和场景写起。</t>
  </si>
  <si>
    <t>不代表从来不用大纲。</t>
  </si>
  <si>
    <t>E054</t>
  </si>
  <si>
    <t>IV-U05-Q12</t>
  </si>
  <si>
    <t>当前作品</t>
  </si>
  <si>
    <t>当前作品不复杂，复杂人物状态功能有用但不急。</t>
  </si>
  <si>
    <t>态度认可不等同强需求。</t>
  </si>
  <si>
    <t>E055</t>
  </si>
  <si>
    <t>IV-U05-Q13</t>
  </si>
  <si>
    <t>新平台导出困难就不会把稿子放进去。</t>
  </si>
  <si>
    <t>过去付费不能推断当前订阅意愿。</t>
  </si>
  <si>
    <t>E056</t>
  </si>
  <si>
    <t>BQ-U05-Q5</t>
  </si>
  <si>
    <t>近期困难包括表达节奏和工具录入负担。</t>
  </si>
  <si>
    <t>这一录入困难与五个月前AI质量事件分开。</t>
  </si>
  <si>
    <t>E057</t>
  </si>
  <si>
    <t>BQ-U06-Q14</t>
  </si>
  <si>
    <t>不能当作已观察到的检索失败。</t>
  </si>
  <si>
    <t>E058</t>
  </si>
  <si>
    <t>BQ-U07-Q6</t>
  </si>
  <si>
    <t>投入与收益回忆</t>
  </si>
  <si>
    <t>前期与当前分开</t>
  </si>
  <si>
    <t>前期资料整理花一晚，现在通常几分钟准备好。</t>
  </si>
  <si>
    <t>P09 P10</t>
  </si>
  <si>
    <t>维护成本和后续收益都需记录。</t>
  </si>
  <si>
    <t>E059</t>
  </si>
  <si>
    <t>BQ-U07-Q9</t>
  </si>
  <si>
    <t>顺畅使用回忆</t>
  </si>
  <si>
    <t>使用已有项目资料请求场景草稿，检查后只调整结尾一段。</t>
  </si>
  <si>
    <t>不推断从不出错，也不算人物口吻困难。</t>
  </si>
  <si>
    <t>E060</t>
  </si>
  <si>
    <t>模拟任务结果</t>
  </si>
  <si>
    <t>任务内相对时间</t>
  </si>
  <si>
    <t>成功，269秒。提示准备完成；未运行模型。错误为旧表未更新，不是本次AI输出。</t>
  </si>
  <si>
    <t>按章状态与引用版本可能重要，尚未证明需完整关系图</t>
  </si>
  <si>
    <t>E061</t>
  </si>
  <si>
    <t>成功，150秒。选择完成；没有为了增加分支而请求更多方案。</t>
  </si>
  <si>
    <t>比较与存档可能比大量生成更有价值</t>
  </si>
  <si>
    <t>E062</t>
  </si>
  <si>
    <t>部分成功，300秒。300秒停止，找到3处但无法确认是否完整；未完成覆盖复核。</t>
  </si>
  <si>
    <t>需要别名与关联核查，检索召回不能凭这次样例估算</t>
  </si>
  <si>
    <t>E063</t>
  </si>
  <si>
    <t>成功，180秒。埋设与计划回收位置已明确；没有把待回收写成已发生。</t>
  </si>
  <si>
    <t>伏笔的计划与发生状态需区分</t>
  </si>
  <si>
    <t>E064</t>
  </si>
  <si>
    <t>成功，195秒。195秒内发现并修正时间状态错误；错误来自手工维护。</t>
  </si>
  <si>
    <t>状态必须带章节或时间边界，AI只是其中一种实现</t>
  </si>
  <si>
    <t>E065</t>
  </si>
  <si>
    <t>部分成功，240秒。240秒停止；确认故事时间，但无法核对史料来源，记部分成功。</t>
  </si>
  <si>
    <t>设定检索需要保留依据，不能把可信出处由AI补写</t>
  </si>
  <si>
    <t>E066</t>
  </si>
  <si>
    <t>成功，180秒。180秒完成方案取舍；选中的目标为用户重新组合。</t>
  </si>
  <si>
    <t>分支应允许拆分、合并与延后，而非只二选一</t>
  </si>
  <si>
    <t>E067</t>
  </si>
  <si>
    <t>未完成，300秒。300秒未找到预期素材；没有用新生成内容冒充旧素材。</t>
  </si>
  <si>
    <t>采集结构与检索线索可能先于智能插入</t>
  </si>
  <si>
    <t>E068</t>
  </si>
  <si>
    <t>成功，60秒。60秒完成；没有明显检索困难，是素材管理需求的反例。</t>
  </si>
  <si>
    <t>有素材不等于检索困难；自动整理可能增加负担</t>
  </si>
  <si>
    <t>E069</t>
  </si>
  <si>
    <t>成功，120秒。120秒完成局部使用；删改属正常创作，不记AI纠错或返工。</t>
  </si>
  <si>
    <t>P04 P06</t>
  </si>
  <si>
    <t>个人素材原文与候选改写应分别保存</t>
  </si>
  <si>
    <t>E070</t>
  </si>
  <si>
    <t>成功，100秒。100秒完成；仅1次局部文本搬运，未运行本次模型。</t>
  </si>
  <si>
    <t>P01 P08</t>
  </si>
  <si>
    <t>轻量局部辅助不一定需要复杂项目管理</t>
  </si>
  <si>
    <t>E071</t>
  </si>
  <si>
    <t>成功，130秒。130秒完成；以已有候选演示选择和撤销，不宣称验证模型效果。</t>
  </si>
  <si>
    <t>句级采纳和撤销可构成基础任务</t>
  </si>
  <si>
    <t>E072</t>
  </si>
  <si>
    <t>成功，55秒。55秒完成，没有背景搬运；不代表所有上下文均被模型正确读取。</t>
  </si>
  <si>
    <t>P01 P09</t>
  </si>
  <si>
    <t>迁移成本与前期维护成本需一起考察</t>
  </si>
  <si>
    <t>E073</t>
  </si>
  <si>
    <t>部分成功，80秒。80秒定位原文，但无法验证实际引用，记部分成功而非模型引用错误。</t>
  </si>
  <si>
    <t>来源可见性可独立于重复输入成为需求</t>
  </si>
  <si>
    <t>E074</t>
  </si>
  <si>
    <t>成功，70秒。70秒完成；作品规模小，人物资料查找并非明显阻碍。</t>
  </si>
  <si>
    <t>P02 P10</t>
  </si>
  <si>
    <t>新手不应被迫先构建完整知识库</t>
  </si>
  <si>
    <t>E075</t>
  </si>
  <si>
    <t>成功，110秒。110秒完成局部推进；未测试AI生成和长期规划。</t>
  </si>
  <si>
    <t>短任务推进可能比完整大纲更适合当前阶段</t>
  </si>
  <si>
    <t>创作类型</t>
  </si>
  <si>
    <t>字数</t>
  </si>
  <si>
    <t>主要人物数</t>
  </si>
  <si>
    <t>创作方式</t>
  </si>
  <si>
    <t>当前工具</t>
  </si>
  <si>
    <t>资料范围</t>
  </si>
  <si>
    <t>悬疑连载</t>
  </si>
  <si>
    <t>混合型</t>
  </si>
  <si>
    <t>Word、DeepSeek、Excel</t>
  </si>
  <si>
    <t>问卷 访谈 任务</t>
  </si>
  <si>
    <t>幻想长篇</t>
  </si>
  <si>
    <t>先规划型</t>
  </si>
  <si>
    <t>Scrivener、Claude、手机备忘录</t>
  </si>
  <si>
    <t>历史题材故事</t>
  </si>
  <si>
    <t>Word、Excel、纸质摘记</t>
  </si>
  <si>
    <t>科幻新人长篇</t>
  </si>
  <si>
    <t>边写边发现型</t>
  </si>
  <si>
    <t>Obsidian、豆包、手机备忘录</t>
  </si>
  <si>
    <t>现实题材故事</t>
  </si>
  <si>
    <t>Word、手机备忘录</t>
  </si>
  <si>
    <t>都市言情连载</t>
  </si>
  <si>
    <t>作家助手、豆包、手机备忘录</t>
  </si>
  <si>
    <t>问卷 任务，无访谈</t>
  </si>
  <si>
    <t>科幻长篇</t>
  </si>
  <si>
    <t>Notion、ChatGPT</t>
  </si>
  <si>
    <t>儿童幻想长篇起稿</t>
  </si>
  <si>
    <t>口径编号</t>
  </si>
  <si>
    <t>需处理的问题</t>
  </si>
  <si>
    <t>来源范围</t>
  </si>
  <si>
    <t>分析处理</t>
  </si>
  <si>
    <t>结果解释</t>
  </si>
  <si>
    <t>D01</t>
  </si>
  <si>
    <t>样本为教学模拟</t>
  </si>
  <si>
    <t>全部</t>
  </si>
  <si>
    <t>保持教学性质，所有推断待真实研究</t>
  </si>
  <si>
    <t>不做市场比例、显著性或投资收益推断。</t>
  </si>
  <si>
    <t>D02</t>
  </si>
  <si>
    <t>U05时间口径不一致</t>
  </si>
  <si>
    <t>BQ-U05-Q6 与 IV-U05-Q7</t>
  </si>
  <si>
    <t>按完整访谈暂归五个月前历史经历</t>
  </si>
  <si>
    <t>不纳入近期AI质量统计，真实研究须回访确认。</t>
  </si>
  <si>
    <t>D03</t>
  </si>
  <si>
    <t>AI跳题不是零次</t>
  </si>
  <si>
    <t>U03 U05 U08 的 Q8 Q11</t>
  </si>
  <si>
    <t>不适用保持文字标记</t>
  </si>
  <si>
    <t>U07的0次为适用后的答案，保留为反例。</t>
  </si>
  <si>
    <t>D04</t>
  </si>
  <si>
    <t>用户及任务不可重复加总</t>
  </si>
  <si>
    <t>同用户BQ IV OBS</t>
  </si>
  <si>
    <t>问题关联计数按用户去重</t>
  </si>
  <si>
    <t>同一事件可编码多问题，问题计数不能相加为用户总数。</t>
  </si>
  <si>
    <t>D05</t>
  </si>
  <si>
    <t>任务异质且无产品对照</t>
  </si>
  <si>
    <t>16项OBS</t>
  </si>
  <si>
    <t>秒数只描述本项任务</t>
  </si>
  <si>
    <t>12项成功不作为新产品成功率，不能平均后宣称提效。</t>
  </si>
  <si>
    <t>D06</t>
  </si>
  <si>
    <t>来源缺失不自动算错误</t>
  </si>
  <si>
    <t>OBS-U03-T2 OBS-U07-T2</t>
  </si>
  <si>
    <t>保留部分成功和原始错误0</t>
  </si>
  <si>
    <t>未知真伪及未知采用与已发现错误分开。</t>
  </si>
  <si>
    <t>D07</t>
  </si>
  <si>
    <t>当前付费不等于为本产品付费</t>
  </si>
  <si>
    <t>BQ-Q15</t>
  </si>
  <si>
    <t>仅说明已有支出</t>
  </si>
  <si>
    <t>无价格接受度和订阅意愿测试。</t>
  </si>
  <si>
    <t>D08</t>
  </si>
  <si>
    <t>无工程成本与自动化质量数据</t>
  </si>
  <si>
    <t>技术设想</t>
  </si>
  <si>
    <t>只排序验证，不用虚构RICE投入</t>
  </si>
  <si>
    <t>进入排期前补工程估算和同任务基线。</t>
  </si>
  <si>
    <t>步骤</t>
  </si>
  <si>
    <t>操作</t>
  </si>
  <si>
    <t>输出</t>
  </si>
  <si>
    <t>需求验证分组</t>
  </si>
  <si>
    <t>数量</t>
  </si>
  <si>
    <t>1</t>
  </si>
  <si>
    <t>统一用户编号时间分支与任务计数</t>
  </si>
  <si>
    <t>样本与口径 任务步骤</t>
  </si>
  <si>
    <t>2</t>
  </si>
  <si>
    <t>拆记录为摘要，保留来源与解释</t>
  </si>
  <si>
    <t>证据编码</t>
  </si>
  <si>
    <t>3</t>
  </si>
  <si>
    <t>按情境合并主题，并记录反例</t>
  </si>
  <si>
    <t>问题归纳 用户问题矩阵</t>
  </si>
  <si>
    <t>4</t>
  </si>
  <si>
    <t>写触发情境与期望结果，拆开方案</t>
  </si>
  <si>
    <t>需求池</t>
  </si>
  <si>
    <t>5</t>
  </si>
  <si>
    <t>按事件影响边界安排验证顺序</t>
  </si>
  <si>
    <t>需求池验证优先级</t>
  </si>
  <si>
    <t>黄色研究状态可编辑；优先级和状态有下拉选项。</t>
  </si>
  <si>
    <t>6</t>
  </si>
  <si>
    <t>比较方案，定验收与继续条件</t>
  </si>
  <si>
    <t>方案与验证</t>
  </si>
  <si>
    <t>修改步骤或矩阵后，汇总计数重算。报告正文为本次版本快照。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</si>
</sst>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name val="Carlito"/>
    </font>
    <font>
      <sz val="10"/>
      <color rgb="FF52606D"/>
      <name val="Droid Sans Fallback"/>
    </font>
    <font>
      <sz val="11"/>
      <name val="Carlito"/>
    </font>
    <font>
      <sz val="9"/>
      <name val="宋体"/>
      <family val="3"/>
      <charset val="134"/>
    </font>
    <font>
      <b/>
      <sz val="9"/>
      <color rgb="FF172B3D"/>
      <name val="Calibri"/>
      <family val="2"/>
      <scheme val="minor"/>
    </font>
    <font>
      <sz val="9"/>
      <color rgb="FF172B3D"/>
      <name val="Calibri"/>
      <family val="2"/>
      <scheme val="minor"/>
    </font>
    <font>
      <b/>
      <sz val="10"/>
      <color theme="1"/>
      <name val="Droid Sans Fallback"/>
    </font>
    <font>
      <sz val="11"/>
      <color theme="1"/>
      <name val="Carlito"/>
    </font>
    <font>
      <sz val="10"/>
      <color theme="1"/>
      <name val="Droid Sans Fallback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28">
    <xf numFmtId="0" fontId="0" fillId="0" borderId="0" xfId="0"/>
    <xf numFmtId="0" fontId="1" fillId="0" borderId="0" xfId="1" applyFont="1"/>
    <xf numFmtId="0" fontId="0" fillId="0" borderId="0" xfId="0" applyAlignment="1">
      <alignment vertical="center"/>
    </xf>
    <xf numFmtId="0" fontId="6" fillId="2" borderId="0" xfId="1" applyFont="1" applyFill="1" applyAlignment="1">
      <alignment horizontal="center" vertical="center" wrapText="1"/>
    </xf>
    <xf numFmtId="0" fontId="7" fillId="2" borderId="0" xfId="0" applyFont="1" applyFill="1" applyAlignment="1">
      <alignment vertical="center"/>
    </xf>
    <xf numFmtId="0" fontId="4" fillId="2" borderId="1" xfId="1" applyFont="1" applyFill="1" applyBorder="1" applyAlignment="1">
      <alignment vertical="center" wrapText="1"/>
    </xf>
    <xf numFmtId="0" fontId="5" fillId="2" borderId="1" xfId="1" applyFont="1" applyFill="1" applyBorder="1" applyAlignment="1">
      <alignment vertical="center" wrapText="1"/>
    </xf>
    <xf numFmtId="0" fontId="7" fillId="2" borderId="0" xfId="0" applyFont="1" applyFill="1"/>
    <xf numFmtId="0" fontId="6" fillId="2" borderId="1" xfId="1" applyFont="1" applyFill="1" applyBorder="1" applyAlignment="1">
      <alignment horizontal="center" vertical="center" wrapText="1"/>
    </xf>
    <xf numFmtId="0" fontId="7" fillId="2" borderId="1" xfId="0" applyFont="1" applyFill="1" applyBorder="1"/>
    <xf numFmtId="0" fontId="8" fillId="2" borderId="1" xfId="1" applyFont="1" applyFill="1" applyBorder="1" applyAlignment="1">
      <alignment vertical="center" wrapText="1"/>
    </xf>
    <xf numFmtId="0" fontId="9" fillId="2" borderId="1" xfId="1" applyFont="1" applyFill="1" applyBorder="1" applyAlignment="1">
      <alignment horizontal="center" vertical="center" wrapText="1"/>
    </xf>
    <xf numFmtId="0" fontId="10" fillId="2" borderId="1" xfId="0" applyFont="1" applyFill="1" applyBorder="1"/>
    <xf numFmtId="0" fontId="11" fillId="0" borderId="1" xfId="0" applyFont="1" applyBorder="1"/>
    <xf numFmtId="0" fontId="9" fillId="2" borderId="1" xfId="1" applyFont="1" applyFill="1" applyBorder="1" applyAlignment="1">
      <alignment horizontal="center" wrapText="1"/>
    </xf>
    <xf numFmtId="0" fontId="10" fillId="2" borderId="1" xfId="1" applyFont="1" applyFill="1" applyBorder="1" applyAlignment="1">
      <alignment vertical="center" wrapText="1"/>
    </xf>
    <xf numFmtId="0" fontId="9" fillId="2" borderId="0" xfId="1" applyFont="1" applyFill="1" applyAlignment="1">
      <alignment horizontal="center" vertical="center" wrapText="1"/>
    </xf>
    <xf numFmtId="0" fontId="10" fillId="2" borderId="0" xfId="0" applyFont="1" applyFill="1"/>
    <xf numFmtId="0" fontId="9" fillId="2" borderId="1" xfId="1" applyFont="1" applyFill="1" applyBorder="1" applyAlignment="1">
      <alignment vertical="center" wrapText="1"/>
    </xf>
    <xf numFmtId="1" fontId="10" fillId="2" borderId="1" xfId="1" applyNumberFormat="1" applyFont="1" applyFill="1" applyBorder="1" applyAlignment="1">
      <alignment horizontal="right" vertical="center" wrapText="1"/>
    </xf>
    <xf numFmtId="0" fontId="10" fillId="2" borderId="1" xfId="1" applyFont="1" applyFill="1" applyBorder="1" applyAlignment="1">
      <alignment horizontal="center" vertical="center" wrapText="1"/>
    </xf>
    <xf numFmtId="1" fontId="5" fillId="2" borderId="1" xfId="1" applyNumberFormat="1" applyFont="1" applyFill="1" applyBorder="1" applyAlignment="1">
      <alignment horizontal="right" vertical="center" wrapText="1"/>
    </xf>
    <xf numFmtId="0" fontId="6" fillId="2" borderId="1" xfId="1" applyFont="1" applyFill="1" applyBorder="1" applyAlignment="1">
      <alignment vertical="center" wrapText="1"/>
    </xf>
    <xf numFmtId="1" fontId="8" fillId="2" borderId="1" xfId="1" applyNumberFormat="1" applyFont="1" applyFill="1" applyBorder="1" applyAlignment="1">
      <alignment vertical="center" wrapText="1"/>
    </xf>
    <xf numFmtId="0" fontId="6" fillId="2" borderId="1" xfId="1" applyFont="1" applyFill="1" applyBorder="1" applyAlignment="1">
      <alignment vertical="center"/>
    </xf>
    <xf numFmtId="0" fontId="8" fillId="2" borderId="1" xfId="1" applyFont="1" applyFill="1" applyBorder="1" applyAlignment="1">
      <alignment vertical="center"/>
    </xf>
    <xf numFmtId="0" fontId="7" fillId="2" borderId="1" xfId="1" applyFont="1" applyFill="1" applyBorder="1" applyAlignment="1">
      <alignment wrapText="1"/>
    </xf>
    <xf numFmtId="3" fontId="10" fillId="2" borderId="1" xfId="1" applyNumberFormat="1" applyFont="1" applyFill="1" applyBorder="1" applyAlignment="1">
      <alignment vertical="center" wrapText="1"/>
    </xf>
  </cellXfs>
  <cellStyles count="2">
    <cellStyle name="Normal" xfId="1" xr:uid="{00000000-0005-0000-0000-000000000000}"/>
    <cellStyle name="常规" xfId="0" builtinId="0"/>
  </cellStyles>
  <dxfs count="115"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>
          <fgColor indexed="64"/>
          <bgColor theme="0"/>
        </patternFill>
      </fill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>
          <fgColor indexed="64"/>
          <bgColor theme="0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>
          <fgColor indexed="64"/>
          <bgColor theme="0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>
          <fgColor indexed="64"/>
          <bgColor theme="0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>
          <fgColor indexed="64"/>
          <bgColor theme="0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>
          <fgColor indexed="64"/>
          <bgColor theme="0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>
          <fgColor indexed="64"/>
          <bgColor theme="0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>
          <fgColor indexed="64"/>
          <bgColor theme="0"/>
        </patternFill>
      </fill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color theme="1"/>
      </font>
      <fill>
        <patternFill>
          <fgColor indexed="64"/>
          <bgColor theme="0"/>
        </patternFill>
      </fill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 style="thin">
          <color auto="1"/>
        </horizontal>
      </border>
    </dxf>
    <dxf>
      <fill>
        <patternFill patternType="solid">
          <bgColor rgb="FFEEF0F3"/>
        </patternFill>
      </fill>
    </dxf>
    <dxf>
      <fill>
        <patternFill patternType="solid">
          <bgColor rgb="FFEEF0F3"/>
        </patternFill>
      </fill>
    </dxf>
    <dxf>
      <fill>
        <patternFill patternType="solid">
          <bgColor rgb="FFE6F0E8"/>
        </patternFill>
      </fill>
    </dxf>
    <dxf>
      <fill>
        <patternFill patternType="solid">
          <bgColor rgb="FFF0EADC"/>
        </patternFill>
      </fill>
    </dxf>
    <dxf>
      <fill>
        <patternFill patternType="solid">
          <bgColor rgb="FFE6EFF5"/>
        </patternFill>
      </fill>
    </dxf>
    <dxf>
      <font>
        <color rgb="FF855815"/>
      </font>
      <fill>
        <patternFill patternType="solid">
          <bgColor rgb="FFFFF1D6"/>
        </patternFill>
      </fill>
    </dxf>
    <dxf>
      <font>
        <b/>
        <color rgb="FF1A4263"/>
      </font>
      <fill>
        <patternFill patternType="solid">
          <bgColor rgb="FFE5EFF7"/>
        </patternFill>
      </fill>
    </dxf>
    <dxf>
      <font>
        <strike val="0"/>
        <outline val="0"/>
        <shadow val="0"/>
        <u val="none"/>
        <vertAlign val="baseline"/>
        <color theme="1"/>
      </font>
      <fill>
        <patternFill>
          <fgColor indexed="64"/>
          <bgColor theme="0"/>
        </patternFill>
      </fill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 style="thin">
          <color auto="1"/>
        </horizontal>
      </border>
    </dxf>
    <dxf>
      <font>
        <strike val="0"/>
        <outline val="0"/>
        <shadow val="0"/>
        <u val="none"/>
        <vertAlign val="baseline"/>
        <color theme="1"/>
      </font>
      <fill>
        <patternFill>
          <fgColor indexed="64"/>
          <bgColor theme="0"/>
        </patternFill>
      </fill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strike val="0"/>
        <outline val="0"/>
        <shadow val="0"/>
        <u val="none"/>
        <vertAlign val="baseline"/>
        <color theme="1"/>
      </font>
      <fill>
        <patternFill>
          <fgColor indexed="64"/>
          <bgColor theme="0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strike val="0"/>
        <outline val="0"/>
        <shadow val="0"/>
        <u val="none"/>
        <vertAlign val="baseline"/>
        <color theme="1"/>
      </font>
      <fill>
        <patternFill>
          <fgColor indexed="64"/>
          <bgColor theme="0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strike val="0"/>
        <outline val="0"/>
        <shadow val="0"/>
        <u val="none"/>
        <vertAlign val="baseline"/>
        <color theme="1"/>
      </font>
      <fill>
        <patternFill>
          <fgColor indexed="64"/>
          <bgColor theme="0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strike val="0"/>
        <outline val="0"/>
        <shadow val="0"/>
        <u val="none"/>
        <vertAlign val="baseline"/>
        <color theme="1"/>
      </font>
      <fill>
        <patternFill>
          <fgColor indexed="64"/>
          <bgColor theme="0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strike val="0"/>
        <outline val="0"/>
        <shadow val="0"/>
        <u val="none"/>
        <vertAlign val="baseline"/>
        <color theme="1"/>
      </font>
      <fill>
        <patternFill>
          <fgColor indexed="64"/>
          <bgColor theme="0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strike val="0"/>
        <outline val="0"/>
        <shadow val="0"/>
        <u val="none"/>
        <vertAlign val="baseline"/>
        <color theme="1"/>
      </font>
      <fill>
        <patternFill>
          <fgColor indexed="64"/>
          <bgColor theme="0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strike val="0"/>
        <outline val="0"/>
        <shadow val="0"/>
        <u val="none"/>
        <vertAlign val="baseline"/>
        <color theme="1"/>
      </font>
      <fill>
        <patternFill>
          <fgColor indexed="64"/>
          <bgColor theme="0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strike val="0"/>
        <outline val="0"/>
        <shadow val="0"/>
        <u val="none"/>
        <vertAlign val="baseline"/>
        <color theme="1"/>
      </font>
      <fill>
        <patternFill>
          <fgColor indexed="64"/>
          <bgColor theme="0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strike val="0"/>
        <outline val="0"/>
        <shadow val="0"/>
        <u val="none"/>
        <vertAlign val="baseline"/>
        <color theme="1"/>
      </font>
      <fill>
        <patternFill>
          <fgColor indexed="64"/>
          <bgColor theme="0"/>
        </patternFill>
      </fill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strike val="0"/>
        <outline val="0"/>
        <shadow val="0"/>
        <u val="none"/>
        <vertAlign val="baseline"/>
        <color theme="1"/>
      </font>
      <fill>
        <patternFill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>
          <fgColor indexed="64"/>
          <bgColor theme="0"/>
        </patternFill>
      </fill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 style="thin">
          <color auto="1"/>
        </horizontal>
      </border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>
          <fgColor indexed="64"/>
          <bgColor theme="0"/>
        </patternFill>
      </fill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>
          <fgColor indexed="64"/>
          <bgColor theme="0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>
          <fgColor indexed="64"/>
          <bgColor theme="0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>
          <fgColor indexed="64"/>
          <bgColor theme="0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>
          <fgColor indexed="64"/>
          <bgColor theme="0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>
          <fgColor indexed="64"/>
          <bgColor theme="0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>
          <fgColor indexed="64"/>
          <bgColor theme="0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>
          <fgColor indexed="64"/>
          <bgColor theme="0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>
          <fgColor indexed="64"/>
          <bgColor theme="0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>
          <fgColor indexed="64"/>
          <bgColor theme="0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>
          <fgColor indexed="64"/>
          <bgColor theme="0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>
          <fgColor indexed="64"/>
          <bgColor theme="0"/>
        </patternFill>
      </fill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9"/>
        <color rgb="FF172B3D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strike val="0"/>
        <outline val="0"/>
        <shadow val="0"/>
        <u val="none"/>
        <vertAlign val="baseline"/>
        <sz val="9"/>
        <color rgb="FF172B3D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strike val="0"/>
        <outline val="0"/>
        <shadow val="0"/>
        <u val="none"/>
        <vertAlign val="baseline"/>
        <sz val="9"/>
        <color rgb="FF172B3D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strike val="0"/>
        <outline val="0"/>
        <shadow val="0"/>
        <u val="none"/>
        <vertAlign val="baseline"/>
        <sz val="9"/>
        <color rgb="FF172B3D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strike val="0"/>
        <outline val="0"/>
        <shadow val="0"/>
        <u val="none"/>
        <vertAlign val="baseline"/>
        <sz val="9"/>
        <color rgb="FF172B3D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strike val="0"/>
        <outline val="0"/>
        <shadow val="0"/>
        <u val="none"/>
        <vertAlign val="baseline"/>
        <sz val="9"/>
        <color rgb="FF172B3D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strike val="0"/>
        <outline val="0"/>
        <shadow val="0"/>
        <u val="none"/>
        <vertAlign val="baseline"/>
        <sz val="9"/>
        <color rgb="FF172B3D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strike val="0"/>
        <outline val="0"/>
        <shadow val="0"/>
        <u val="none"/>
        <vertAlign val="baseline"/>
        <sz val="9"/>
        <color rgb="FF172B3D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strike val="0"/>
        <outline val="0"/>
        <shadow val="0"/>
        <u val="none"/>
        <vertAlign val="baseline"/>
        <sz val="9"/>
        <color rgb="FF172B3D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strike val="0"/>
        <outline val="0"/>
        <shadow val="0"/>
        <u val="none"/>
        <vertAlign val="baseline"/>
        <sz val="9"/>
        <color rgb="FF172B3D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strike val="0"/>
        <outline val="0"/>
        <shadow val="0"/>
        <u val="none"/>
        <vertAlign val="baseline"/>
        <sz val="9"/>
        <color rgb="FF172B3D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strike val="0"/>
        <outline val="0"/>
        <shadow val="0"/>
        <u val="none"/>
        <vertAlign val="baseline"/>
        <sz val="9"/>
        <color rgb="FF172B3D"/>
        <name val="Calibri"/>
        <family val="2"/>
        <scheme val="minor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color theme="1"/>
      </font>
      <fill>
        <patternFill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color theme="1"/>
      </font>
      <fill>
        <patternFill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>
          <fgColor indexed="64"/>
          <bgColor theme="0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>
          <fgColor indexed="64"/>
          <bgColor theme="0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>
          <fgColor indexed="64"/>
          <bgColor theme="0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>
          <fgColor indexed="64"/>
          <bgColor theme="0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>
          <fgColor indexed="64"/>
          <bgColor theme="0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>
          <fgColor indexed="64"/>
          <bgColor theme="0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>
          <fgColor indexed="64"/>
          <bgColor theme="0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>
          <fgColor indexed="64"/>
          <bgColor theme="0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>
          <fgColor indexed="64"/>
          <bgColor theme="0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>
          <fgColor indexed="64"/>
          <bgColor theme="0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>
          <fgColor indexed="64"/>
          <bgColor theme="0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9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9"/>
        <color rgb="FF172B3D"/>
        <name val="Calibri"/>
        <family val="2"/>
        <scheme val="minor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>
          <fgColor indexed="64"/>
          <bgColor theme="0"/>
        </patternFill>
      </fill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strike val="0"/>
        <outline val="0"/>
        <shadow val="0"/>
        <u val="none"/>
        <vertAlign val="baseline"/>
        <sz val="9"/>
        <color rgb="FF172B3D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9"/>
        <color rgb="FF172B3D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9"/>
        <color rgb="FF172B3D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9"/>
        <color rgb="FF172B3D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9"/>
        <color rgb="FF172B3D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9"/>
        <color rgb="FF172B3D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9"/>
        <color rgb="FF172B3D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9"/>
        <color rgb="FF172B3D"/>
        <name val="Calibri"/>
        <family val="2"/>
        <scheme val="minor"/>
      </font>
      <fill>
        <patternFill>
          <fgColor indexed="64"/>
          <bgColor theme="0"/>
        </patternFill>
      </fill>
      <alignment vertical="center" textRotation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strike val="0"/>
        <outline val="0"/>
        <shadow val="0"/>
        <u val="none"/>
        <vertAlign val="baseline"/>
        <sz val="9"/>
        <color rgb="FF172B3D"/>
        <name val="Calibri"/>
        <family val="2"/>
        <scheme val="minor"/>
      </font>
      <fill>
        <patternFill>
          <fgColor indexed="64"/>
          <bgColor theme="0"/>
        </patternFill>
      </fill>
      <alignment vertical="center" textRotation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strike val="0"/>
        <outline val="0"/>
        <shadow val="0"/>
        <u val="none"/>
        <vertAlign val="baseline"/>
        <sz val="9"/>
        <color rgb="FF172B3D"/>
        <name val="Calibri"/>
        <family val="2"/>
        <scheme val="minor"/>
      </font>
      <fill>
        <patternFill>
          <fgColor indexed="64"/>
          <bgColor theme="0"/>
        </patternFill>
      </fill>
      <alignment vertical="center" textRotation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strike val="0"/>
        <outline val="0"/>
        <shadow val="0"/>
        <u val="none"/>
        <vertAlign val="baseline"/>
        <sz val="9"/>
        <color rgb="FF172B3D"/>
        <name val="Calibri"/>
        <family val="2"/>
        <scheme val="minor"/>
      </font>
      <fill>
        <patternFill>
          <fgColor indexed="64"/>
          <bgColor theme="0"/>
        </patternFill>
      </fill>
      <alignment vertical="center" textRotation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strike val="0"/>
        <outline val="0"/>
        <shadow val="0"/>
        <u val="none"/>
        <vertAlign val="baseline"/>
        <sz val="9"/>
        <color rgb="FF172B3D"/>
        <name val="Calibri"/>
        <family val="2"/>
        <scheme val="minor"/>
      </font>
      <fill>
        <patternFill>
          <fgColor indexed="64"/>
          <bgColor theme="0"/>
        </patternFill>
      </fill>
      <alignment vertical="center" textRotation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strike val="0"/>
        <outline val="0"/>
        <shadow val="0"/>
        <u val="none"/>
        <vertAlign val="baseline"/>
        <sz val="9"/>
        <color rgb="FF172B3D"/>
        <name val="Calibri"/>
        <family val="2"/>
        <scheme val="minor"/>
      </font>
      <fill>
        <patternFill>
          <fgColor indexed="64"/>
          <bgColor theme="0"/>
        </patternFill>
      </fill>
      <alignment vertical="center" textRotation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strike val="0"/>
        <outline val="0"/>
        <shadow val="0"/>
        <u val="none"/>
        <vertAlign val="baseline"/>
        <sz val="9"/>
        <color rgb="FF172B3D"/>
        <name val="Calibri"/>
        <family val="2"/>
        <scheme val="minor"/>
      </font>
      <fill>
        <patternFill>
          <fgColor indexed="64"/>
          <bgColor theme="0"/>
        </patternFill>
      </fill>
      <alignment vertical="center" textRotation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strike val="0"/>
        <outline val="0"/>
        <shadow val="0"/>
        <u val="none"/>
        <vertAlign val="baseline"/>
        <sz val="9"/>
        <color rgb="FF172B3D"/>
        <name val="Calibri"/>
        <family val="2"/>
        <scheme val="minor"/>
      </font>
      <fill>
        <patternFill>
          <fgColor indexed="64"/>
          <bgColor theme="0"/>
        </patternFill>
      </fill>
      <alignment vertical="center" textRotation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strike val="0"/>
        <outline val="0"/>
        <shadow val="0"/>
        <u val="none"/>
        <vertAlign val="baseline"/>
        <sz val="9"/>
        <color rgb="FF172B3D"/>
        <name val="Calibri"/>
        <family val="2"/>
        <scheme val="minor"/>
      </font>
      <fill>
        <patternFill>
          <fgColor indexed="64"/>
          <bgColor theme="0"/>
        </patternFill>
      </fill>
      <alignment vertical="center" textRotation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strike val="0"/>
        <outline val="0"/>
        <shadow val="0"/>
        <u val="none"/>
        <vertAlign val="baseline"/>
        <sz val="9"/>
        <color rgb="FF172B3D"/>
        <name val="Calibri"/>
        <family val="2"/>
        <scheme val="minor"/>
      </font>
      <fill>
        <patternFill>
          <fgColor indexed="64"/>
          <bgColor theme="0"/>
        </patternFill>
      </fill>
      <alignment vertical="center" textRotation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strike val="0"/>
        <outline val="0"/>
        <shadow val="0"/>
        <u val="none"/>
        <vertAlign val="baseline"/>
        <sz val="9"/>
        <color rgb="FF172B3D"/>
        <name val="Calibri"/>
        <family val="2"/>
        <scheme val="minor"/>
      </font>
      <fill>
        <patternFill>
          <fgColor indexed="64"/>
          <bgColor theme="0"/>
        </patternFill>
      </fill>
      <alignment vertical="center" textRotation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strike val="0"/>
        <outline val="0"/>
        <shadow val="0"/>
        <u val="none"/>
        <vertAlign val="baseline"/>
        <sz val="9"/>
        <color rgb="FF172B3D"/>
        <name val="Calibri"/>
        <family val="2"/>
        <scheme val="minor"/>
      </font>
      <fill>
        <patternFill>
          <fgColor indexed="64"/>
          <bgColor theme="0"/>
        </patternFill>
      </fill>
      <alignment vertical="center" textRotation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strike val="0"/>
        <outline val="0"/>
        <shadow val="0"/>
        <u val="none"/>
        <vertAlign val="baseline"/>
        <sz val="9"/>
        <color rgb="FF172B3D"/>
        <name val="Calibri"/>
        <family val="2"/>
        <scheme val="minor"/>
      </font>
      <fill>
        <patternFill>
          <fgColor indexed="64"/>
          <bgColor theme="0"/>
        </patternFill>
      </fill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color theme="1"/>
      </font>
      <fill>
        <patternFill>
          <fgColor indexed="64"/>
          <bgColor theme="0"/>
        </patternFill>
      </fill>
      <alignment vertical="center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0" displayName="Table0" ref="A1:L17" totalsRowShown="0" headerRowDxfId="114" dataDxfId="113">
  <autoFilter ref="A1:L17" xr:uid="{00000000-0009-0000-0100-000001000000}"/>
  <tableColumns count="12">
    <tableColumn id="1" xr3:uid="{00000000-0010-0000-0000-000001000000}" name="需求编号" dataDxfId="112"/>
    <tableColumn id="2" xr3:uid="{00000000-0010-0000-0000-000002000000}" name="用户需求" dataDxfId="111"/>
    <tableColumn id="3" xr3:uid="{00000000-0010-0000-0000-000003000000}" name="适用用户" dataDxfId="110"/>
    <tableColumn id="4" xr3:uid="{00000000-0010-0000-0000-000004000000}" name="触发情境" dataDxfId="109"/>
    <tableColumn id="5" xr3:uid="{00000000-0010-0000-0000-000005000000}" name="期望结果" dataDxfId="108"/>
    <tableColumn id="6" xr3:uid="{00000000-0010-0000-0000-000006000000}" name="问题编号" dataDxfId="107"/>
    <tableColumn id="7" xr3:uid="{00000000-0010-0000-0000-000007000000}" name="证据编号" dataDxfId="106"/>
    <tableColumn id="8" xr3:uid="{00000000-0010-0000-0000-000008000000}" name="验证优先级" dataDxfId="105"/>
    <tableColumn id="9" xr3:uid="{00000000-0010-0000-0000-000009000000}" name="排序依据" dataDxfId="104"/>
    <tableColumn id="10" xr3:uid="{00000000-0010-0000-0000-00000A000000}" name="试验范围" dataDxfId="103"/>
    <tableColumn id="11" xr3:uid="{00000000-0010-0000-0000-00000B000000}" name="反例与边界" dataDxfId="102"/>
    <tableColumn id="12" xr3:uid="{00000000-0010-0000-0000-00000C000000}" name="研究状态" dataDxfId="10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1" displayName="Table1" ref="A1:G17" totalsRowShown="0" headerRowDxfId="93" dataDxfId="92">
  <autoFilter ref="A1:G17" xr:uid="{00000000-0009-0000-0100-000002000000}"/>
  <tableColumns count="7">
    <tableColumn id="1" xr3:uid="{00000000-0010-0000-0100-000001000000}" name="需求编号" dataDxfId="100"/>
    <tableColumn id="2" xr3:uid="{00000000-0010-0000-0100-000002000000}" name="用户需求" dataDxfId="99"/>
    <tableColumn id="3" xr3:uid="{00000000-0010-0000-0100-000003000000}" name="候选实现" dataDxfId="98"/>
    <tableColumn id="4" xr3:uid="{00000000-0010-0000-0100-000004000000}" name="较轻替代方案" dataDxfId="97"/>
    <tableColumn id="5" xr3:uid="{00000000-0010-0000-0100-000005000000}" name="验收条件" dataDxfId="96"/>
    <tableColumn id="6" xr3:uid="{00000000-0010-0000-0100-000006000000}" name="验证编号" dataDxfId="95"/>
    <tableColumn id="7" xr3:uid="{00000000-0010-0000-0100-000007000000}" name="责任角色" dataDxfId="9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ValidationTable" displayName="ValidationTable" ref="A21:G30" totalsRowShown="0" headerRowDxfId="91" dataDxfId="83">
  <tableColumns count="7">
    <tableColumn id="1" xr3:uid="{00000000-0010-0000-0200-000001000000}" name="验证编号" dataDxfId="90"/>
    <tableColumn id="2" xr3:uid="{00000000-0010-0000-0200-000002000000}" name="测试对象" dataDxfId="89"/>
    <tableColumn id="3" xr3:uid="{00000000-0010-0000-0200-000003000000}" name="对照方法" dataDxfId="88"/>
    <tableColumn id="4" xr3:uid="{00000000-0010-0000-0200-000004000000}" name="记录指标" dataDxfId="87"/>
    <tableColumn id="5" xr3:uid="{00000000-0010-0000-0200-000005000000}" name="继续或修正条件" dataDxfId="86"/>
    <tableColumn id="6" xr3:uid="{00000000-0010-0000-0200-000006000000}" name="关联需求" dataDxfId="85"/>
    <tableColumn id="7" xr3:uid="{00000000-0010-0000-0200-000007000000}" name="责任角色" dataDxfId="84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3000000}" name="Table2" displayName="Table2" ref="A1:K11" totalsRowShown="0" headerRowDxfId="82" dataDxfId="81">
  <autoFilter ref="A1:K11" xr:uid="{00000000-0009-0000-0100-000005000000}"/>
  <tableColumns count="11">
    <tableColumn id="1" xr3:uid="{00000000-0010-0000-0300-000001000000}" name="问题编号" dataDxfId="80"/>
    <tableColumn id="2" xr3:uid="{00000000-0010-0000-0300-000002000000}" name="主题" dataDxfId="79"/>
    <tableColumn id="3" xr3:uid="{00000000-0010-0000-0300-000003000000}" name="归纳陈述" dataDxfId="78"/>
    <tableColumn id="4" xr3:uid="{00000000-0010-0000-0300-000004000000}" name="问题性质" dataDxfId="77"/>
    <tableColumn id="5" xr3:uid="{00000000-0010-0000-0300-000005000000}" name="E或T关联人数" dataDxfId="76"/>
    <tableColumn id="6" xr3:uid="{00000000-0010-0000-0300-000006000000}" name="仅态度人数" dataDxfId="75"/>
    <tableColumn id="7" xr3:uid="{00000000-0010-0000-0300-000007000000}" name="反例人数" dataDxfId="74"/>
    <tableColumn id="8" xr3:uid="{00000000-0010-0000-0300-000008000000}" name="不适用人数" dataDxfId="73"/>
    <tableColumn id="9" xr3:uid="{00000000-0010-0000-0300-000009000000}" name="未涉及人数" dataDxfId="72"/>
    <tableColumn id="10" xr3:uid="{00000000-0010-0000-0300-00000A000000}" name="影响和时间口径" dataDxfId="71"/>
    <tableColumn id="11" xr3:uid="{00000000-0010-0000-0300-00000B000000}" name="研究判断" dataDxfId="70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4000000}" name="Table3" displayName="Table3" ref="A1:L9" totalsRowShown="0" headerRowDxfId="69" dataDxfId="68">
  <autoFilter ref="A1:L9" xr:uid="{00000000-0009-0000-0100-000004000000}"/>
  <tableColumns count="12">
    <tableColumn id="1" xr3:uid="{00000000-0010-0000-0400-000001000000}" name="用户" dataDxfId="67"/>
    <tableColumn id="2" xr3:uid="{00000000-0010-0000-0400-000002000000}" name="AI分组" dataDxfId="66"/>
    <tableColumn id="3" xr3:uid="{00000000-0010-0000-0400-000003000000}" name="P01 准备有效上下文" dataDxfId="65"/>
    <tableColumn id="4" xr3:uid="{00000000-0010-0000-0400-000004000000}" name="P02 确认当前章节状态" dataDxfId="64"/>
    <tableColumn id="5" xr3:uid="{00000000-0010-0000-0400-000005000000}" name="P03 复核修改影响" dataDxfId="63"/>
    <tableColumn id="6" xr3:uid="{00000000-0010-0000-0400-000006000000}" name="P04 保留采纳与撤销控制" dataDxfId="62"/>
    <tableColumn id="7" xr3:uid="{00000000-0010-0000-0400-000007000000}" name="P05 决定局部下一步" dataDxfId="61"/>
    <tableColumn id="8" xr3:uid="{00000000-0010-0000-0400-000008000000}" name="P06 定位并复用个人素材" dataDxfId="60"/>
    <tableColumn id="9" xr3:uid="{00000000-0010-0000-0400-000009000000}" name="P07 检查依据与资料来源" dataDxfId="59"/>
    <tableColumn id="10" xr3:uid="{00000000-0010-0000-0400-00000A000000}" name="P08 保留人物口吻与表达" dataDxfId="58"/>
    <tableColumn id="11" xr3:uid="{00000000-0010-0000-0400-00000B000000}" name="P09 保留现有资产与退出能力" dataDxfId="57"/>
    <tableColumn id="12" xr3:uid="{00000000-0010-0000-0400-00000C000000}" name="P10 降低维护和界面负担" dataDxfId="56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5000000}" name="Table4" displayName="Table4" ref="A1:K17" totalsRowShown="0" headerRowDxfId="55" dataDxfId="54">
  <autoFilter ref="A1:K17" xr:uid="{00000000-0009-0000-0100-000007000000}"/>
  <tableColumns count="11">
    <tableColumn id="1" xr3:uid="{00000000-0010-0000-0500-000001000000}" name="任务编号" dataDxfId="53"/>
    <tableColumn id="2" xr3:uid="{00000000-0010-0000-0500-000002000000}" name="用户" dataDxfId="52"/>
    <tableColumn id="3" xr3:uid="{00000000-0010-0000-0500-000003000000}" name="原记录结果" dataDxfId="51"/>
    <tableColumn id="4" xr3:uid="{00000000-0010-0000-0500-000004000000}" name="秒" dataDxfId="50"/>
    <tableColumn id="5" xr3:uid="{00000000-0010-0000-0500-000005000000}" name="切换次" dataDxfId="49"/>
    <tableColumn id="6" xr3:uid="{00000000-0010-0000-0500-000006000000}" name="查找次" dataDxfId="48"/>
    <tableColumn id="7" xr3:uid="{00000000-0010-0000-0500-000007000000}" name="搬运次" dataDxfId="47"/>
    <tableColumn id="8" xr3:uid="{00000000-0010-0000-0500-000008000000}" name="错误项" dataDxfId="46"/>
    <tableColumn id="9" xr3:uid="{00000000-0010-0000-0500-000009000000}" name="任务目标" dataDxfId="45"/>
    <tableColumn id="10" xr3:uid="{00000000-0010-0000-0500-00000A000000}" name="原完成条件" dataDxfId="44"/>
    <tableColumn id="11" xr3:uid="{00000000-0010-0000-0500-00000B000000}" name="原结果说明" dataDxfId="43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6000000}" name="Table5" displayName="Table5" ref="A1:L48" totalsRowShown="0" headerRowDxfId="29" dataDxfId="42">
  <autoFilter ref="A1:L48" xr:uid="{00000000-0009-0000-0100-000006000000}"/>
  <tableColumns count="12">
    <tableColumn id="1" xr3:uid="{00000000-0010-0000-0600-000001000000}" name="步骤编号" dataDxfId="41"/>
    <tableColumn id="2" xr3:uid="{00000000-0010-0000-0600-000002000000}" name="任务编号" dataDxfId="40"/>
    <tableColumn id="3" xr3:uid="{00000000-0010-0000-0600-000003000000}" name="用户" dataDxfId="39"/>
    <tableColumn id="4" xr3:uid="{00000000-0010-0000-0600-000004000000}" name="起点秒" dataDxfId="38"/>
    <tableColumn id="5" xr3:uid="{00000000-0010-0000-0600-000005000000}" name="终点秒" dataDxfId="37"/>
    <tableColumn id="6" xr3:uid="{00000000-0010-0000-0600-000006000000}" name="时长秒" dataDxfId="36"/>
    <tableColumn id="7" xr3:uid="{00000000-0010-0000-0600-000007000000}" name="原记录操作摘要" dataDxfId="35"/>
    <tableColumn id="8" xr3:uid="{00000000-0010-0000-0600-000008000000}" name="工具" dataDxfId="34"/>
    <tableColumn id="9" xr3:uid="{00000000-0010-0000-0600-000009000000}" name="切换次" dataDxfId="33"/>
    <tableColumn id="10" xr3:uid="{00000000-0010-0000-0600-00000A000000}" name="查找次" dataDxfId="32"/>
    <tableColumn id="11" xr3:uid="{00000000-0010-0000-0600-00000B000000}" name="搬运次" dataDxfId="31"/>
    <tableColumn id="12" xr3:uid="{00000000-0010-0000-0600-00000C000000}" name="错误项" dataDxfId="30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6" displayName="Table6" ref="A1:J76" totalsRowShown="0" headerRowDxfId="17" dataDxfId="28">
  <autoFilter ref="A1:J76" xr:uid="{00000000-0009-0000-0100-000008000000}"/>
  <tableColumns count="10">
    <tableColumn id="1" xr3:uid="{00000000-0010-0000-0700-000001000000}" name="证据编号" dataDxfId="27"/>
    <tableColumn id="2" xr3:uid="{00000000-0010-0000-0700-000002000000}" name="用户" dataDxfId="26"/>
    <tableColumn id="3" xr3:uid="{00000000-0010-0000-0700-000003000000}" name="来源定位" dataDxfId="25"/>
    <tableColumn id="4" xr3:uid="{00000000-0010-0000-0700-000004000000}" name="原文页" dataDxfId="24"/>
    <tableColumn id="5" xr3:uid="{00000000-0010-0000-0700-000005000000}" name="资料类型" dataDxfId="23"/>
    <tableColumn id="6" xr3:uid="{00000000-0010-0000-0700-000006000000}" name="时间口径" dataDxfId="22"/>
    <tableColumn id="7" xr3:uid="{00000000-0010-0000-0700-000007000000}" name="来源摘要" dataDxfId="21"/>
    <tableColumn id="8" xr3:uid="{00000000-0010-0000-0700-000008000000}" name="问题编号" dataDxfId="20"/>
    <tableColumn id="9" xr3:uid="{00000000-0010-0000-0700-000009000000}" name="作用" dataDxfId="19"/>
    <tableColumn id="10" xr3:uid="{00000000-0010-0000-0700-00000A000000}" name="分析解释" dataDxfId="18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7" displayName="Table7" ref="A1:H9" totalsRowShown="0" headerRowDxfId="9" dataDxfId="0">
  <autoFilter ref="A1:H9" xr:uid="{00000000-0009-0000-0100-000009000000}"/>
  <tableColumns count="8">
    <tableColumn id="1" xr3:uid="{00000000-0010-0000-0800-000001000000}" name="用户" dataDxfId="8"/>
    <tableColumn id="2" xr3:uid="{00000000-0010-0000-0800-000002000000}" name="创作类型" dataDxfId="7"/>
    <tableColumn id="3" xr3:uid="{00000000-0010-0000-0800-000003000000}" name="字数" dataDxfId="6"/>
    <tableColumn id="4" xr3:uid="{00000000-0010-0000-0800-000004000000}" name="主要人物数" dataDxfId="5"/>
    <tableColumn id="5" xr3:uid="{00000000-0010-0000-0800-000005000000}" name="创作方式" dataDxfId="4"/>
    <tableColumn id="6" xr3:uid="{00000000-0010-0000-0800-000006000000}" name="AI分组" dataDxfId="3"/>
    <tableColumn id="7" xr3:uid="{00000000-0010-0000-0800-000007000000}" name="当前工具" dataDxfId="2"/>
    <tableColumn id="8" xr3:uid="{00000000-0010-0000-0800-000008000000}" name="资料范围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/>
  </sheetPr>
  <dimension ref="A1:L17"/>
  <sheetViews>
    <sheetView showGridLines="0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3.5"/>
  <cols>
    <col min="1" max="1" width="8.3125" style="2" customWidth="1"/>
    <col min="2" max="2" width="21.125" style="2" customWidth="1"/>
    <col min="3" max="3" width="24.4375" style="2" customWidth="1"/>
    <col min="4" max="4" width="23.3125" style="2" customWidth="1"/>
    <col min="5" max="5" width="34.4375" style="2" customWidth="1"/>
    <col min="6" max="6" width="12.25" style="2" customWidth="1"/>
    <col min="7" max="7" width="15.5625" style="2" customWidth="1"/>
    <col min="8" max="8" width="13.875" style="2" customWidth="1"/>
    <col min="9" max="9" width="29.4375" style="2" customWidth="1"/>
    <col min="10" max="10" width="18.875" style="2" customWidth="1"/>
    <col min="11" max="11" width="35" style="2" customWidth="1"/>
    <col min="12" max="12" width="13.875" style="2" customWidth="1"/>
    <col min="13" max="16384" width="9" style="2"/>
  </cols>
  <sheetData>
    <row r="1" spans="1:12" s="4" customFormat="1" ht="28.5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 ht="66" customHeight="1">
      <c r="A2" s="5" t="s">
        <v>12</v>
      </c>
      <c r="B2" s="6" t="s">
        <v>13</v>
      </c>
      <c r="C2" s="6" t="s">
        <v>14</v>
      </c>
      <c r="D2" s="6" t="s">
        <v>15</v>
      </c>
      <c r="E2" s="6" t="s">
        <v>16</v>
      </c>
      <c r="F2" s="6" t="s">
        <v>17</v>
      </c>
      <c r="G2" s="6" t="s">
        <v>18</v>
      </c>
      <c r="H2" s="6" t="s">
        <v>19</v>
      </c>
      <c r="I2" s="6" t="s">
        <v>20</v>
      </c>
      <c r="J2" s="6" t="s">
        <v>21</v>
      </c>
      <c r="K2" s="6" t="s">
        <v>22</v>
      </c>
      <c r="L2" s="6" t="s">
        <v>23</v>
      </c>
    </row>
    <row r="3" spans="1:12" ht="66" customHeight="1">
      <c r="A3" s="5" t="s">
        <v>24</v>
      </c>
      <c r="B3" s="6" t="s">
        <v>25</v>
      </c>
      <c r="C3" s="6" t="s">
        <v>26</v>
      </c>
      <c r="D3" s="6" t="s">
        <v>27</v>
      </c>
      <c r="E3" s="6" t="s">
        <v>28</v>
      </c>
      <c r="F3" s="6" t="s">
        <v>29</v>
      </c>
      <c r="G3" s="6" t="s">
        <v>30</v>
      </c>
      <c r="H3" s="6" t="s">
        <v>19</v>
      </c>
      <c r="I3" s="6" t="s">
        <v>31</v>
      </c>
      <c r="J3" s="6" t="s">
        <v>21</v>
      </c>
      <c r="K3" s="6" t="s">
        <v>32</v>
      </c>
      <c r="L3" s="6" t="s">
        <v>23</v>
      </c>
    </row>
    <row r="4" spans="1:12" ht="66" customHeight="1">
      <c r="A4" s="5" t="s">
        <v>33</v>
      </c>
      <c r="B4" s="6" t="s">
        <v>34</v>
      </c>
      <c r="C4" s="6" t="s">
        <v>35</v>
      </c>
      <c r="D4" s="6" t="s">
        <v>36</v>
      </c>
      <c r="E4" s="6" t="s">
        <v>37</v>
      </c>
      <c r="F4" s="6" t="s">
        <v>38</v>
      </c>
      <c r="G4" s="6" t="s">
        <v>39</v>
      </c>
      <c r="H4" s="6" t="s">
        <v>19</v>
      </c>
      <c r="I4" s="6" t="s">
        <v>40</v>
      </c>
      <c r="J4" s="6" t="s">
        <v>41</v>
      </c>
      <c r="K4" s="6" t="s">
        <v>42</v>
      </c>
      <c r="L4" s="6" t="s">
        <v>23</v>
      </c>
    </row>
    <row r="5" spans="1:12" ht="66" customHeight="1">
      <c r="A5" s="5" t="s">
        <v>43</v>
      </c>
      <c r="B5" s="6" t="s">
        <v>44</v>
      </c>
      <c r="C5" s="6" t="s">
        <v>45</v>
      </c>
      <c r="D5" s="6" t="s">
        <v>46</v>
      </c>
      <c r="E5" s="6" t="s">
        <v>47</v>
      </c>
      <c r="F5" s="6" t="s">
        <v>48</v>
      </c>
      <c r="G5" s="6" t="s">
        <v>49</v>
      </c>
      <c r="H5" s="6" t="s">
        <v>19</v>
      </c>
      <c r="I5" s="6" t="s">
        <v>50</v>
      </c>
      <c r="J5" s="6" t="s">
        <v>21</v>
      </c>
      <c r="K5" s="6" t="s">
        <v>51</v>
      </c>
      <c r="L5" s="6" t="s">
        <v>23</v>
      </c>
    </row>
    <row r="6" spans="1:12" ht="66" customHeight="1">
      <c r="A6" s="5" t="s">
        <v>52</v>
      </c>
      <c r="B6" s="6" t="s">
        <v>53</v>
      </c>
      <c r="C6" s="6" t="s">
        <v>54</v>
      </c>
      <c r="D6" s="6" t="s">
        <v>55</v>
      </c>
      <c r="E6" s="6" t="s">
        <v>56</v>
      </c>
      <c r="F6" s="6" t="s">
        <v>57</v>
      </c>
      <c r="G6" s="6" t="s">
        <v>58</v>
      </c>
      <c r="H6" s="6" t="s">
        <v>19</v>
      </c>
      <c r="I6" s="6" t="s">
        <v>59</v>
      </c>
      <c r="J6" s="6" t="s">
        <v>60</v>
      </c>
      <c r="K6" s="6" t="s">
        <v>61</v>
      </c>
      <c r="L6" s="6" t="s">
        <v>23</v>
      </c>
    </row>
    <row r="7" spans="1:12" ht="66" customHeight="1">
      <c r="A7" s="5" t="s">
        <v>62</v>
      </c>
      <c r="B7" s="6" t="s">
        <v>63</v>
      </c>
      <c r="C7" s="6" t="s">
        <v>64</v>
      </c>
      <c r="D7" s="6" t="s">
        <v>65</v>
      </c>
      <c r="E7" s="6" t="s">
        <v>66</v>
      </c>
      <c r="F7" s="6" t="s">
        <v>67</v>
      </c>
      <c r="G7" s="6" t="s">
        <v>68</v>
      </c>
      <c r="H7" s="6" t="s">
        <v>69</v>
      </c>
      <c r="I7" s="6" t="s">
        <v>70</v>
      </c>
      <c r="J7" s="6" t="s">
        <v>71</v>
      </c>
      <c r="K7" s="6" t="s">
        <v>72</v>
      </c>
      <c r="L7" s="6" t="s">
        <v>23</v>
      </c>
    </row>
    <row r="8" spans="1:12" ht="66" customHeight="1">
      <c r="A8" s="5" t="s">
        <v>73</v>
      </c>
      <c r="B8" s="6" t="s">
        <v>74</v>
      </c>
      <c r="C8" s="6" t="s">
        <v>75</v>
      </c>
      <c r="D8" s="6" t="s">
        <v>76</v>
      </c>
      <c r="E8" s="6" t="s">
        <v>77</v>
      </c>
      <c r="F8" s="6" t="s">
        <v>78</v>
      </c>
      <c r="G8" s="6" t="s">
        <v>79</v>
      </c>
      <c r="H8" s="6" t="s">
        <v>69</v>
      </c>
      <c r="I8" s="6" t="s">
        <v>80</v>
      </c>
      <c r="J8" s="6" t="s">
        <v>81</v>
      </c>
      <c r="K8" s="6" t="s">
        <v>82</v>
      </c>
      <c r="L8" s="6" t="s">
        <v>23</v>
      </c>
    </row>
    <row r="9" spans="1:12" ht="66" customHeight="1">
      <c r="A9" s="5" t="s">
        <v>83</v>
      </c>
      <c r="B9" s="6" t="s">
        <v>84</v>
      </c>
      <c r="C9" s="6" t="s">
        <v>85</v>
      </c>
      <c r="D9" s="6" t="s">
        <v>86</v>
      </c>
      <c r="E9" s="6" t="s">
        <v>87</v>
      </c>
      <c r="F9" s="6" t="s">
        <v>88</v>
      </c>
      <c r="G9" s="6" t="s">
        <v>89</v>
      </c>
      <c r="H9" s="6" t="s">
        <v>19</v>
      </c>
      <c r="I9" s="6" t="s">
        <v>90</v>
      </c>
      <c r="J9" s="6" t="s">
        <v>21</v>
      </c>
      <c r="K9" s="6" t="s">
        <v>91</v>
      </c>
      <c r="L9" s="6" t="s">
        <v>23</v>
      </c>
    </row>
    <row r="10" spans="1:12" ht="66" customHeight="1">
      <c r="A10" s="5" t="s">
        <v>92</v>
      </c>
      <c r="B10" s="6" t="s">
        <v>93</v>
      </c>
      <c r="C10" s="6" t="s">
        <v>94</v>
      </c>
      <c r="D10" s="6" t="s">
        <v>95</v>
      </c>
      <c r="E10" s="6" t="s">
        <v>96</v>
      </c>
      <c r="F10" s="6" t="s">
        <v>97</v>
      </c>
      <c r="G10" s="6" t="s">
        <v>98</v>
      </c>
      <c r="H10" s="6" t="s">
        <v>19</v>
      </c>
      <c r="I10" s="6" t="s">
        <v>99</v>
      </c>
      <c r="J10" s="6" t="s">
        <v>100</v>
      </c>
      <c r="K10" s="6" t="s">
        <v>101</v>
      </c>
      <c r="L10" s="6" t="s">
        <v>23</v>
      </c>
    </row>
    <row r="11" spans="1:12" ht="66" customHeight="1">
      <c r="A11" s="5" t="s">
        <v>102</v>
      </c>
      <c r="B11" s="6" t="s">
        <v>103</v>
      </c>
      <c r="C11" s="6" t="s">
        <v>104</v>
      </c>
      <c r="D11" s="6" t="s">
        <v>105</v>
      </c>
      <c r="E11" s="6" t="s">
        <v>106</v>
      </c>
      <c r="F11" s="6" t="s">
        <v>107</v>
      </c>
      <c r="G11" s="6" t="s">
        <v>108</v>
      </c>
      <c r="H11" s="6" t="s">
        <v>69</v>
      </c>
      <c r="I11" s="6" t="s">
        <v>109</v>
      </c>
      <c r="J11" s="6" t="s">
        <v>110</v>
      </c>
      <c r="K11" s="6" t="s">
        <v>111</v>
      </c>
      <c r="L11" s="6" t="s">
        <v>23</v>
      </c>
    </row>
    <row r="12" spans="1:12" ht="66" customHeight="1">
      <c r="A12" s="5" t="s">
        <v>112</v>
      </c>
      <c r="B12" s="6" t="s">
        <v>113</v>
      </c>
      <c r="C12" s="6" t="s">
        <v>114</v>
      </c>
      <c r="D12" s="6" t="s">
        <v>115</v>
      </c>
      <c r="E12" s="6" t="s">
        <v>116</v>
      </c>
      <c r="F12" s="6" t="s">
        <v>117</v>
      </c>
      <c r="G12" s="6" t="s">
        <v>118</v>
      </c>
      <c r="H12" s="6" t="s">
        <v>69</v>
      </c>
      <c r="I12" s="6" t="s">
        <v>119</v>
      </c>
      <c r="J12" s="6" t="s">
        <v>120</v>
      </c>
      <c r="K12" s="6" t="s">
        <v>121</v>
      </c>
      <c r="L12" s="6" t="s">
        <v>23</v>
      </c>
    </row>
    <row r="13" spans="1:12" ht="66" customHeight="1">
      <c r="A13" s="5" t="s">
        <v>122</v>
      </c>
      <c r="B13" s="6" t="s">
        <v>123</v>
      </c>
      <c r="C13" s="6" t="s">
        <v>124</v>
      </c>
      <c r="D13" s="6" t="s">
        <v>125</v>
      </c>
      <c r="E13" s="6" t="s">
        <v>126</v>
      </c>
      <c r="F13" s="6" t="s">
        <v>29</v>
      </c>
      <c r="G13" s="6" t="s">
        <v>127</v>
      </c>
      <c r="H13" s="6" t="s">
        <v>69</v>
      </c>
      <c r="I13" s="6" t="s">
        <v>128</v>
      </c>
      <c r="J13" s="6" t="s">
        <v>129</v>
      </c>
      <c r="K13" s="6" t="s">
        <v>130</v>
      </c>
      <c r="L13" s="6" t="s">
        <v>23</v>
      </c>
    </row>
    <row r="14" spans="1:12" ht="66" customHeight="1">
      <c r="A14" s="5" t="s">
        <v>131</v>
      </c>
      <c r="B14" s="6" t="s">
        <v>132</v>
      </c>
      <c r="C14" s="6" t="s">
        <v>133</v>
      </c>
      <c r="D14" s="6" t="s">
        <v>134</v>
      </c>
      <c r="E14" s="6" t="s">
        <v>135</v>
      </c>
      <c r="F14" s="6" t="s">
        <v>136</v>
      </c>
      <c r="G14" s="6" t="s">
        <v>137</v>
      </c>
      <c r="H14" s="6" t="s">
        <v>138</v>
      </c>
      <c r="I14" s="6" t="s">
        <v>139</v>
      </c>
      <c r="J14" s="6" t="s">
        <v>140</v>
      </c>
      <c r="K14" s="6" t="s">
        <v>141</v>
      </c>
      <c r="L14" s="6" t="s">
        <v>23</v>
      </c>
    </row>
    <row r="15" spans="1:12" ht="66" customHeight="1">
      <c r="A15" s="5" t="s">
        <v>142</v>
      </c>
      <c r="B15" s="6" t="s">
        <v>143</v>
      </c>
      <c r="C15" s="6" t="s">
        <v>144</v>
      </c>
      <c r="D15" s="6" t="s">
        <v>145</v>
      </c>
      <c r="E15" s="6" t="s">
        <v>146</v>
      </c>
      <c r="F15" s="6" t="s">
        <v>48</v>
      </c>
      <c r="G15" s="6" t="s">
        <v>147</v>
      </c>
      <c r="H15" s="6" t="s">
        <v>138</v>
      </c>
      <c r="I15" s="6" t="s">
        <v>148</v>
      </c>
      <c r="J15" s="6" t="s">
        <v>149</v>
      </c>
      <c r="K15" s="6" t="s">
        <v>150</v>
      </c>
      <c r="L15" s="6" t="s">
        <v>23</v>
      </c>
    </row>
    <row r="16" spans="1:12" ht="66" customHeight="1">
      <c r="A16" s="5" t="s">
        <v>151</v>
      </c>
      <c r="B16" s="6" t="s">
        <v>152</v>
      </c>
      <c r="C16" s="6" t="s">
        <v>153</v>
      </c>
      <c r="D16" s="6" t="s">
        <v>154</v>
      </c>
      <c r="E16" s="6" t="s">
        <v>155</v>
      </c>
      <c r="F16" s="6" t="s">
        <v>97</v>
      </c>
      <c r="G16" s="6" t="s">
        <v>156</v>
      </c>
      <c r="H16" s="6" t="s">
        <v>69</v>
      </c>
      <c r="I16" s="6" t="s">
        <v>157</v>
      </c>
      <c r="J16" s="6" t="s">
        <v>158</v>
      </c>
      <c r="K16" s="6" t="s">
        <v>159</v>
      </c>
      <c r="L16" s="6" t="s">
        <v>23</v>
      </c>
    </row>
    <row r="17" spans="1:12" ht="66" customHeight="1">
      <c r="A17" s="5" t="s">
        <v>160</v>
      </c>
      <c r="B17" s="6" t="s">
        <v>161</v>
      </c>
      <c r="C17" s="6" t="s">
        <v>162</v>
      </c>
      <c r="D17" s="6" t="s">
        <v>163</v>
      </c>
      <c r="E17" s="6" t="s">
        <v>164</v>
      </c>
      <c r="F17" s="6" t="s">
        <v>165</v>
      </c>
      <c r="G17" s="6" t="s">
        <v>166</v>
      </c>
      <c r="H17" s="6" t="s">
        <v>138</v>
      </c>
      <c r="I17" s="6" t="s">
        <v>167</v>
      </c>
      <c r="J17" s="6" t="s">
        <v>81</v>
      </c>
      <c r="K17" s="6" t="s">
        <v>168</v>
      </c>
      <c r="L17" s="6" t="s">
        <v>23</v>
      </c>
    </row>
  </sheetData>
  <phoneticPr fontId="3" type="noConversion"/>
  <conditionalFormatting sqref="H2:H17">
    <cfRule type="containsText" dxfId="16" priority="1" operator="containsText" text="优先验证"/>
    <cfRule type="containsText" dxfId="15" priority="2" operator="containsText" text="基础约束"/>
  </conditionalFormatting>
  <dataValidations count="2">
    <dataValidation type="list" sqref="H2:H17" xr:uid="{00000000-0002-0000-0000-000000000000}">
      <formula1>"优先验证,后续验证,基础约束"</formula1>
    </dataValidation>
    <dataValidation type="list" sqref="L2:L17" xr:uid="{00000000-0002-0000-0000-000001000000}">
      <formula1>"待真实研究,待原型验证,待工程验证,暂缓,已验证"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0"/>
  </sheetPr>
  <dimension ref="A1:G30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B22" sqref="B22"/>
    </sheetView>
  </sheetViews>
  <sheetFormatPr defaultRowHeight="11.65"/>
  <cols>
    <col min="1" max="1" width="8.3125" style="13" customWidth="1"/>
    <col min="2" max="2" width="21.125" style="13" customWidth="1"/>
    <col min="3" max="3" width="34.4375" style="13" customWidth="1"/>
    <col min="4" max="4" width="32.25" style="13" customWidth="1"/>
    <col min="5" max="5" width="56.6875" style="13" customWidth="1"/>
    <col min="6" max="6" width="10" style="13" customWidth="1"/>
    <col min="7" max="7" width="16.6875" style="13" customWidth="1"/>
    <col min="8" max="16384" width="9" style="13"/>
  </cols>
  <sheetData>
    <row r="1" spans="1:7" s="12" customFormat="1" ht="28.5" customHeight="1">
      <c r="A1" s="11" t="s">
        <v>0</v>
      </c>
      <c r="B1" s="11" t="s">
        <v>1</v>
      </c>
      <c r="C1" s="11" t="s">
        <v>169</v>
      </c>
      <c r="D1" s="11" t="s">
        <v>170</v>
      </c>
      <c r="E1" s="11" t="s">
        <v>171</v>
      </c>
      <c r="F1" s="11" t="s">
        <v>172</v>
      </c>
      <c r="G1" s="11" t="s">
        <v>173</v>
      </c>
    </row>
    <row r="2" spans="1:7" ht="69" customHeight="1">
      <c r="A2" s="5" t="s">
        <v>12</v>
      </c>
      <c r="B2" s="6" t="s">
        <v>13</v>
      </c>
      <c r="C2" s="6" t="s">
        <v>174</v>
      </c>
      <c r="D2" s="6" t="s">
        <v>175</v>
      </c>
      <c r="E2" s="6" t="s">
        <v>176</v>
      </c>
      <c r="F2" s="6" t="s">
        <v>177</v>
      </c>
      <c r="G2" s="6" t="s">
        <v>178</v>
      </c>
    </row>
    <row r="3" spans="1:7" ht="69" customHeight="1">
      <c r="A3" s="5" t="s">
        <v>24</v>
      </c>
      <c r="B3" s="6" t="s">
        <v>25</v>
      </c>
      <c r="C3" s="6" t="s">
        <v>179</v>
      </c>
      <c r="D3" s="6" t="s">
        <v>180</v>
      </c>
      <c r="E3" s="6" t="s">
        <v>181</v>
      </c>
      <c r="F3" s="6" t="s">
        <v>182</v>
      </c>
      <c r="G3" s="6" t="s">
        <v>178</v>
      </c>
    </row>
    <row r="4" spans="1:7" ht="69" customHeight="1">
      <c r="A4" s="5" t="s">
        <v>33</v>
      </c>
      <c r="B4" s="6" t="s">
        <v>34</v>
      </c>
      <c r="C4" s="6" t="s">
        <v>183</v>
      </c>
      <c r="D4" s="6" t="s">
        <v>184</v>
      </c>
      <c r="E4" s="6" t="s">
        <v>185</v>
      </c>
      <c r="F4" s="6" t="s">
        <v>186</v>
      </c>
      <c r="G4" s="6" t="s">
        <v>178</v>
      </c>
    </row>
    <row r="5" spans="1:7" ht="69" customHeight="1">
      <c r="A5" s="5" t="s">
        <v>43</v>
      </c>
      <c r="B5" s="6" t="s">
        <v>44</v>
      </c>
      <c r="C5" s="6" t="s">
        <v>187</v>
      </c>
      <c r="D5" s="6" t="s">
        <v>188</v>
      </c>
      <c r="E5" s="6" t="s">
        <v>189</v>
      </c>
      <c r="F5" s="6" t="s">
        <v>190</v>
      </c>
      <c r="G5" s="6" t="s">
        <v>178</v>
      </c>
    </row>
    <row r="6" spans="1:7" ht="69" customHeight="1">
      <c r="A6" s="5" t="s">
        <v>52</v>
      </c>
      <c r="B6" s="6" t="s">
        <v>53</v>
      </c>
      <c r="C6" s="6" t="s">
        <v>191</v>
      </c>
      <c r="D6" s="6" t="s">
        <v>192</v>
      </c>
      <c r="E6" s="6" t="s">
        <v>193</v>
      </c>
      <c r="F6" s="6" t="s">
        <v>194</v>
      </c>
      <c r="G6" s="6" t="s">
        <v>178</v>
      </c>
    </row>
    <row r="7" spans="1:7" ht="69" customHeight="1">
      <c r="A7" s="5" t="s">
        <v>62</v>
      </c>
      <c r="B7" s="6" t="s">
        <v>63</v>
      </c>
      <c r="C7" s="6" t="s">
        <v>195</v>
      </c>
      <c r="D7" s="6" t="s">
        <v>196</v>
      </c>
      <c r="E7" s="6" t="s">
        <v>197</v>
      </c>
      <c r="F7" s="6" t="s">
        <v>198</v>
      </c>
      <c r="G7" s="6" t="s">
        <v>178</v>
      </c>
    </row>
    <row r="8" spans="1:7" ht="69" customHeight="1">
      <c r="A8" s="5" t="s">
        <v>73</v>
      </c>
      <c r="B8" s="6" t="s">
        <v>74</v>
      </c>
      <c r="C8" s="6" t="s">
        <v>199</v>
      </c>
      <c r="D8" s="6" t="s">
        <v>200</v>
      </c>
      <c r="E8" s="6" t="s">
        <v>201</v>
      </c>
      <c r="F8" s="6" t="s">
        <v>198</v>
      </c>
      <c r="G8" s="6" t="s">
        <v>178</v>
      </c>
    </row>
    <row r="9" spans="1:7" ht="69" customHeight="1">
      <c r="A9" s="5" t="s">
        <v>83</v>
      </c>
      <c r="B9" s="6" t="s">
        <v>84</v>
      </c>
      <c r="C9" s="6" t="s">
        <v>202</v>
      </c>
      <c r="D9" s="6" t="s">
        <v>203</v>
      </c>
      <c r="E9" s="6" t="s">
        <v>204</v>
      </c>
      <c r="F9" s="6" t="s">
        <v>205</v>
      </c>
      <c r="G9" s="6" t="s">
        <v>178</v>
      </c>
    </row>
    <row r="10" spans="1:7" ht="69" customHeight="1">
      <c r="A10" s="5" t="s">
        <v>92</v>
      </c>
      <c r="B10" s="6" t="s">
        <v>93</v>
      </c>
      <c r="C10" s="6" t="s">
        <v>206</v>
      </c>
      <c r="D10" s="6" t="s">
        <v>207</v>
      </c>
      <c r="E10" s="6" t="s">
        <v>208</v>
      </c>
      <c r="F10" s="6" t="s">
        <v>194</v>
      </c>
      <c r="G10" s="6" t="s">
        <v>178</v>
      </c>
    </row>
    <row r="11" spans="1:7" ht="69" customHeight="1">
      <c r="A11" s="5" t="s">
        <v>102</v>
      </c>
      <c r="B11" s="6" t="s">
        <v>103</v>
      </c>
      <c r="C11" s="6" t="s">
        <v>209</v>
      </c>
      <c r="D11" s="6" t="s">
        <v>210</v>
      </c>
      <c r="E11" s="6" t="s">
        <v>211</v>
      </c>
      <c r="F11" s="6" t="s">
        <v>190</v>
      </c>
      <c r="G11" s="6" t="s">
        <v>178</v>
      </c>
    </row>
    <row r="12" spans="1:7" ht="69" customHeight="1">
      <c r="A12" s="5" t="s">
        <v>112</v>
      </c>
      <c r="B12" s="6" t="s">
        <v>113</v>
      </c>
      <c r="C12" s="6" t="s">
        <v>212</v>
      </c>
      <c r="D12" s="6" t="s">
        <v>213</v>
      </c>
      <c r="E12" s="6" t="s">
        <v>214</v>
      </c>
      <c r="F12" s="6" t="s">
        <v>215</v>
      </c>
      <c r="G12" s="6" t="s">
        <v>216</v>
      </c>
    </row>
    <row r="13" spans="1:7" ht="69" customHeight="1">
      <c r="A13" s="5" t="s">
        <v>122</v>
      </c>
      <c r="B13" s="6" t="s">
        <v>123</v>
      </c>
      <c r="C13" s="6" t="s">
        <v>217</v>
      </c>
      <c r="D13" s="6" t="s">
        <v>218</v>
      </c>
      <c r="E13" s="6" t="s">
        <v>219</v>
      </c>
      <c r="F13" s="6" t="s">
        <v>182</v>
      </c>
      <c r="G13" s="6" t="s">
        <v>178</v>
      </c>
    </row>
    <row r="14" spans="1:7" ht="69" customHeight="1">
      <c r="A14" s="5" t="s">
        <v>131</v>
      </c>
      <c r="B14" s="6" t="s">
        <v>132</v>
      </c>
      <c r="C14" s="6" t="s">
        <v>220</v>
      </c>
      <c r="D14" s="6" t="s">
        <v>221</v>
      </c>
      <c r="E14" s="6" t="s">
        <v>222</v>
      </c>
      <c r="F14" s="6" t="s">
        <v>182</v>
      </c>
      <c r="G14" s="6" t="s">
        <v>178</v>
      </c>
    </row>
    <row r="15" spans="1:7" ht="69" customHeight="1">
      <c r="A15" s="5" t="s">
        <v>142</v>
      </c>
      <c r="B15" s="6" t="s">
        <v>143</v>
      </c>
      <c r="C15" s="6" t="s">
        <v>223</v>
      </c>
      <c r="D15" s="6" t="s">
        <v>224</v>
      </c>
      <c r="E15" s="6" t="s">
        <v>225</v>
      </c>
      <c r="F15" s="6" t="s">
        <v>215</v>
      </c>
      <c r="G15" s="6" t="s">
        <v>226</v>
      </c>
    </row>
    <row r="16" spans="1:7" ht="69" customHeight="1">
      <c r="A16" s="5" t="s">
        <v>151</v>
      </c>
      <c r="B16" s="6" t="s">
        <v>152</v>
      </c>
      <c r="C16" s="6" t="s">
        <v>227</v>
      </c>
      <c r="D16" s="6" t="s">
        <v>228</v>
      </c>
      <c r="E16" s="6" t="s">
        <v>229</v>
      </c>
      <c r="F16" s="6" t="s">
        <v>230</v>
      </c>
      <c r="G16" s="6" t="s">
        <v>178</v>
      </c>
    </row>
    <row r="17" spans="1:7" ht="69" customHeight="1">
      <c r="A17" s="5" t="s">
        <v>160</v>
      </c>
      <c r="B17" s="6" t="s">
        <v>161</v>
      </c>
      <c r="C17" s="6" t="s">
        <v>231</v>
      </c>
      <c r="D17" s="6" t="s">
        <v>232</v>
      </c>
      <c r="E17" s="6" t="s">
        <v>233</v>
      </c>
      <c r="F17" s="6" t="s">
        <v>198</v>
      </c>
      <c r="G17" s="6" t="s">
        <v>178</v>
      </c>
    </row>
    <row r="21" spans="1:7" s="12" customFormat="1" ht="28.5" customHeight="1">
      <c r="A21" s="14" t="s">
        <v>172</v>
      </c>
      <c r="B21" s="14" t="s">
        <v>234</v>
      </c>
      <c r="C21" s="14" t="s">
        <v>235</v>
      </c>
      <c r="D21" s="14" t="s">
        <v>236</v>
      </c>
      <c r="E21" s="14" t="s">
        <v>237</v>
      </c>
      <c r="F21" s="14" t="s">
        <v>238</v>
      </c>
      <c r="G21" s="14" t="s">
        <v>173</v>
      </c>
    </row>
    <row r="22" spans="1:7" s="12" customFormat="1" ht="91.5" customHeight="1">
      <c r="A22" s="15" t="s">
        <v>177</v>
      </c>
      <c r="B22" s="15" t="s">
        <v>239</v>
      </c>
      <c r="C22" s="15" t="s">
        <v>240</v>
      </c>
      <c r="D22" s="15" t="s">
        <v>241</v>
      </c>
      <c r="E22" s="15" t="s">
        <v>242</v>
      </c>
      <c r="F22" s="15" t="s">
        <v>243</v>
      </c>
      <c r="G22" s="15" t="s">
        <v>244</v>
      </c>
    </row>
    <row r="23" spans="1:7" ht="91.5" customHeight="1">
      <c r="A23" s="15" t="s">
        <v>182</v>
      </c>
      <c r="B23" s="15" t="s">
        <v>245</v>
      </c>
      <c r="C23" s="15" t="s">
        <v>246</v>
      </c>
      <c r="D23" s="15" t="s">
        <v>247</v>
      </c>
      <c r="E23" s="15" t="s">
        <v>248</v>
      </c>
      <c r="F23" s="15" t="s">
        <v>249</v>
      </c>
      <c r="G23" s="15" t="s">
        <v>250</v>
      </c>
    </row>
    <row r="24" spans="1:7" ht="91.5" customHeight="1">
      <c r="A24" s="15" t="s">
        <v>186</v>
      </c>
      <c r="B24" s="15" t="s">
        <v>251</v>
      </c>
      <c r="C24" s="15" t="s">
        <v>252</v>
      </c>
      <c r="D24" s="15" t="s">
        <v>253</v>
      </c>
      <c r="E24" s="15" t="s">
        <v>254</v>
      </c>
      <c r="F24" s="15" t="s">
        <v>33</v>
      </c>
      <c r="G24" s="15" t="s">
        <v>250</v>
      </c>
    </row>
    <row r="25" spans="1:7" ht="91.5" customHeight="1">
      <c r="A25" s="15" t="s">
        <v>190</v>
      </c>
      <c r="B25" s="15" t="s">
        <v>255</v>
      </c>
      <c r="C25" s="15" t="s">
        <v>256</v>
      </c>
      <c r="D25" s="15" t="s">
        <v>257</v>
      </c>
      <c r="E25" s="15" t="s">
        <v>258</v>
      </c>
      <c r="F25" s="15" t="s">
        <v>259</v>
      </c>
      <c r="G25" s="15" t="s">
        <v>260</v>
      </c>
    </row>
    <row r="26" spans="1:7" ht="91.5" customHeight="1">
      <c r="A26" s="15" t="s">
        <v>194</v>
      </c>
      <c r="B26" s="15" t="s">
        <v>261</v>
      </c>
      <c r="C26" s="15" t="s">
        <v>262</v>
      </c>
      <c r="D26" s="15" t="s">
        <v>263</v>
      </c>
      <c r="E26" s="15" t="s">
        <v>264</v>
      </c>
      <c r="F26" s="15" t="s">
        <v>265</v>
      </c>
      <c r="G26" s="15" t="s">
        <v>266</v>
      </c>
    </row>
    <row r="27" spans="1:7" ht="91.5" customHeight="1">
      <c r="A27" s="15" t="s">
        <v>198</v>
      </c>
      <c r="B27" s="15" t="s">
        <v>267</v>
      </c>
      <c r="C27" s="15" t="s">
        <v>268</v>
      </c>
      <c r="D27" s="15" t="s">
        <v>269</v>
      </c>
      <c r="E27" s="15" t="s">
        <v>270</v>
      </c>
      <c r="F27" s="15" t="s">
        <v>271</v>
      </c>
      <c r="G27" s="15" t="s">
        <v>266</v>
      </c>
    </row>
    <row r="28" spans="1:7" ht="91.5" customHeight="1">
      <c r="A28" s="15" t="s">
        <v>205</v>
      </c>
      <c r="B28" s="15" t="s">
        <v>272</v>
      </c>
      <c r="C28" s="15" t="s">
        <v>273</v>
      </c>
      <c r="D28" s="15" t="s">
        <v>274</v>
      </c>
      <c r="E28" s="15" t="s">
        <v>275</v>
      </c>
      <c r="F28" s="15" t="s">
        <v>83</v>
      </c>
      <c r="G28" s="15" t="s">
        <v>250</v>
      </c>
    </row>
    <row r="29" spans="1:7" ht="91.5" customHeight="1">
      <c r="A29" s="15" t="s">
        <v>215</v>
      </c>
      <c r="B29" s="15" t="s">
        <v>276</v>
      </c>
      <c r="C29" s="15" t="s">
        <v>277</v>
      </c>
      <c r="D29" s="15" t="s">
        <v>278</v>
      </c>
      <c r="E29" s="15" t="s">
        <v>279</v>
      </c>
      <c r="F29" s="15" t="s">
        <v>280</v>
      </c>
      <c r="G29" s="15" t="s">
        <v>226</v>
      </c>
    </row>
    <row r="30" spans="1:7" ht="91.5" customHeight="1">
      <c r="A30" s="15" t="s">
        <v>230</v>
      </c>
      <c r="B30" s="15" t="s">
        <v>281</v>
      </c>
      <c r="C30" s="15" t="s">
        <v>282</v>
      </c>
      <c r="D30" s="15" t="s">
        <v>283</v>
      </c>
      <c r="E30" s="15" t="s">
        <v>284</v>
      </c>
      <c r="F30" s="15" t="s">
        <v>151</v>
      </c>
      <c r="G30" s="15" t="s">
        <v>266</v>
      </c>
    </row>
  </sheetData>
  <phoneticPr fontId="3" type="noConversion"/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0"/>
  </sheetPr>
  <dimension ref="A1:K11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E7" sqref="E7"/>
    </sheetView>
  </sheetViews>
  <sheetFormatPr defaultRowHeight="11.65"/>
  <cols>
    <col min="1" max="1" width="8.3125" style="17" customWidth="1"/>
    <col min="2" max="2" width="18.3125" style="17" customWidth="1"/>
    <col min="3" max="3" width="38.875" style="17" customWidth="1"/>
    <col min="4" max="4" width="16.6875" style="17" customWidth="1"/>
    <col min="5" max="6" width="12.25" style="17" customWidth="1"/>
    <col min="7" max="7" width="11.125" style="17" customWidth="1"/>
    <col min="8" max="9" width="12.25" style="17" customWidth="1"/>
    <col min="10" max="10" width="38.875" style="17" customWidth="1"/>
    <col min="11" max="11" width="35.5625" style="17" customWidth="1"/>
    <col min="12" max="16384" width="9" style="17"/>
  </cols>
  <sheetData>
    <row r="1" spans="1:11" ht="28.5" customHeight="1">
      <c r="A1" s="16" t="s">
        <v>5</v>
      </c>
      <c r="B1" s="16" t="s">
        <v>285</v>
      </c>
      <c r="C1" s="16" t="s">
        <v>286</v>
      </c>
      <c r="D1" s="16" t="s">
        <v>287</v>
      </c>
      <c r="E1" s="16" t="s">
        <v>288</v>
      </c>
      <c r="F1" s="16" t="s">
        <v>289</v>
      </c>
      <c r="G1" s="16" t="s">
        <v>290</v>
      </c>
      <c r="H1" s="16" t="s">
        <v>291</v>
      </c>
      <c r="I1" s="16" t="s">
        <v>292</v>
      </c>
      <c r="J1" s="16" t="s">
        <v>293</v>
      </c>
      <c r="K1" s="16" t="s">
        <v>294</v>
      </c>
    </row>
    <row r="2" spans="1:11" ht="76.5" customHeight="1">
      <c r="A2" s="18" t="s">
        <v>295</v>
      </c>
      <c r="B2" s="15" t="s">
        <v>296</v>
      </c>
      <c r="C2" s="15" t="s">
        <v>297</v>
      </c>
      <c r="D2" s="15" t="s">
        <v>298</v>
      </c>
      <c r="E2" s="19">
        <f>COUNTIFS(用户问题矩阵!C$2:C$9,"E")+COUNTIFS(用户问题矩阵!C$2:C$9,"T")</f>
        <v>3</v>
      </c>
      <c r="F2" s="19">
        <f>COUNTIFS(用户问题矩阵!C$2:C$9,"A")</f>
        <v>0</v>
      </c>
      <c r="G2" s="19">
        <f>COUNTIFS(用户问题矩阵!C$2:C$9,"R")</f>
        <v>2</v>
      </c>
      <c r="H2" s="19">
        <f>COUNTIFS(用户问题矩阵!C$2:C$9,"N")</f>
        <v>3</v>
      </c>
      <c r="I2" s="19">
        <f>COUNTIFS(用户问题矩阵!C$2:C$9,"M")</f>
        <v>0</v>
      </c>
      <c r="J2" s="15" t="s">
        <v>299</v>
      </c>
      <c r="K2" s="15" t="s">
        <v>300</v>
      </c>
    </row>
    <row r="3" spans="1:11" ht="76.5" customHeight="1">
      <c r="A3" s="18" t="s">
        <v>29</v>
      </c>
      <c r="B3" s="15" t="s">
        <v>301</v>
      </c>
      <c r="C3" s="15" t="s">
        <v>302</v>
      </c>
      <c r="D3" s="15" t="s">
        <v>303</v>
      </c>
      <c r="E3" s="19">
        <f>COUNTIFS(用户问题矩阵!D$2:D$9,"E")+COUNTIFS(用户问题矩阵!D$2:D$9,"T")</f>
        <v>3</v>
      </c>
      <c r="F3" s="19">
        <f>COUNTIFS(用户问题矩阵!D$2:D$9,"A")</f>
        <v>1</v>
      </c>
      <c r="G3" s="19">
        <f>COUNTIFS(用户问题矩阵!D$2:D$9,"R")</f>
        <v>2</v>
      </c>
      <c r="H3" s="19">
        <f>COUNTIFS(用户问题矩阵!D$2:D$9,"N")</f>
        <v>0</v>
      </c>
      <c r="I3" s="19">
        <f>COUNTIFS(用户问题矩阵!D$2:D$9,"M")</f>
        <v>2</v>
      </c>
      <c r="J3" s="15" t="s">
        <v>304</v>
      </c>
      <c r="K3" s="15" t="s">
        <v>305</v>
      </c>
    </row>
    <row r="4" spans="1:11" ht="76.5" customHeight="1">
      <c r="A4" s="18" t="s">
        <v>38</v>
      </c>
      <c r="B4" s="15" t="s">
        <v>306</v>
      </c>
      <c r="C4" s="15" t="s">
        <v>307</v>
      </c>
      <c r="D4" s="15" t="s">
        <v>303</v>
      </c>
      <c r="E4" s="19">
        <f>COUNTIFS(用户问题矩阵!E$2:E$9,"E")+COUNTIFS(用户问题矩阵!E$2:E$9,"T")</f>
        <v>4</v>
      </c>
      <c r="F4" s="19">
        <f>COUNTIFS(用户问题矩阵!E$2:E$9,"A")</f>
        <v>0</v>
      </c>
      <c r="G4" s="19">
        <f>COUNTIFS(用户问题矩阵!E$2:E$9,"R")</f>
        <v>1</v>
      </c>
      <c r="H4" s="19">
        <f>COUNTIFS(用户问题矩阵!E$2:E$9,"N")</f>
        <v>0</v>
      </c>
      <c r="I4" s="19">
        <f>COUNTIFS(用户问题矩阵!E$2:E$9,"M")</f>
        <v>3</v>
      </c>
      <c r="J4" s="15" t="s">
        <v>308</v>
      </c>
      <c r="K4" s="15" t="s">
        <v>309</v>
      </c>
    </row>
    <row r="5" spans="1:11" ht="76.5" customHeight="1">
      <c r="A5" s="18" t="s">
        <v>48</v>
      </c>
      <c r="B5" s="15" t="s">
        <v>310</v>
      </c>
      <c r="C5" s="15" t="s">
        <v>311</v>
      </c>
      <c r="D5" s="15" t="s">
        <v>312</v>
      </c>
      <c r="E5" s="19">
        <f>COUNTIFS(用户问题矩阵!F$2:F$9,"E")+COUNTIFS(用户问题矩阵!F$2:F$9,"T")</f>
        <v>4</v>
      </c>
      <c r="F5" s="19">
        <f>COUNTIFS(用户问题矩阵!F$2:F$9,"A")</f>
        <v>3</v>
      </c>
      <c r="G5" s="19">
        <f>COUNTIFS(用户问题矩阵!F$2:F$9,"R")</f>
        <v>0</v>
      </c>
      <c r="H5" s="19">
        <f>COUNTIFS(用户问题矩阵!F$2:F$9,"N")</f>
        <v>0</v>
      </c>
      <c r="I5" s="19">
        <f>COUNTIFS(用户问题矩阵!F$2:F$9,"M")</f>
        <v>1</v>
      </c>
      <c r="J5" s="15" t="s">
        <v>313</v>
      </c>
      <c r="K5" s="15" t="s">
        <v>314</v>
      </c>
    </row>
    <row r="6" spans="1:11" ht="76.5" customHeight="1">
      <c r="A6" s="18" t="s">
        <v>315</v>
      </c>
      <c r="B6" s="15" t="s">
        <v>316</v>
      </c>
      <c r="C6" s="15" t="s">
        <v>317</v>
      </c>
      <c r="D6" s="15" t="s">
        <v>318</v>
      </c>
      <c r="E6" s="19">
        <f>COUNTIFS(用户问题矩阵!G$2:G$9,"E")+COUNTIFS(用户问题矩阵!G$2:G$9,"T")</f>
        <v>3</v>
      </c>
      <c r="F6" s="19">
        <f>COUNTIFS(用户问题矩阵!G$2:G$9,"A")</f>
        <v>0</v>
      </c>
      <c r="G6" s="19">
        <f>COUNTIFS(用户问题矩阵!G$2:G$9,"R")</f>
        <v>2</v>
      </c>
      <c r="H6" s="19">
        <f>COUNTIFS(用户问题矩阵!G$2:G$9,"N")</f>
        <v>1</v>
      </c>
      <c r="I6" s="19">
        <f>COUNTIFS(用户问题矩阵!G$2:G$9,"M")</f>
        <v>2</v>
      </c>
      <c r="J6" s="15" t="s">
        <v>319</v>
      </c>
      <c r="K6" s="15" t="s">
        <v>320</v>
      </c>
    </row>
    <row r="7" spans="1:11" ht="76.5" customHeight="1">
      <c r="A7" s="18" t="s">
        <v>67</v>
      </c>
      <c r="B7" s="15" t="s">
        <v>321</v>
      </c>
      <c r="C7" s="15" t="s">
        <v>322</v>
      </c>
      <c r="D7" s="15" t="s">
        <v>303</v>
      </c>
      <c r="E7" s="19">
        <f>COUNTIFS(用户问题矩阵!H$2:H$9,"E")+COUNTIFS(用户问题矩阵!H$2:H$9,"T")</f>
        <v>2</v>
      </c>
      <c r="F7" s="19">
        <f>COUNTIFS(用户问题矩阵!H$2:H$9,"A")</f>
        <v>2</v>
      </c>
      <c r="G7" s="19">
        <f>COUNTIFS(用户问题矩阵!H$2:H$9,"R")</f>
        <v>2</v>
      </c>
      <c r="H7" s="19">
        <f>COUNTIFS(用户问题矩阵!H$2:H$9,"N")</f>
        <v>1</v>
      </c>
      <c r="I7" s="19">
        <f>COUNTIFS(用户问题矩阵!H$2:H$9,"M")</f>
        <v>1</v>
      </c>
      <c r="J7" s="15" t="s">
        <v>323</v>
      </c>
      <c r="K7" s="15" t="s">
        <v>324</v>
      </c>
    </row>
    <row r="8" spans="1:11" ht="76.5" customHeight="1">
      <c r="A8" s="18" t="s">
        <v>88</v>
      </c>
      <c r="B8" s="15" t="s">
        <v>325</v>
      </c>
      <c r="C8" s="15" t="s">
        <v>326</v>
      </c>
      <c r="D8" s="15" t="s">
        <v>327</v>
      </c>
      <c r="E8" s="19">
        <f>COUNTIFS(用户问题矩阵!I$2:I$9,"E")+COUNTIFS(用户问题矩阵!I$2:I$9,"T")</f>
        <v>2</v>
      </c>
      <c r="F8" s="19">
        <f>COUNTIFS(用户问题矩阵!I$2:I$9,"A")</f>
        <v>4</v>
      </c>
      <c r="G8" s="19">
        <f>COUNTIFS(用户问题矩阵!I$2:I$9,"R")</f>
        <v>0</v>
      </c>
      <c r="H8" s="19">
        <f>COUNTIFS(用户问题矩阵!I$2:I$9,"N")</f>
        <v>0</v>
      </c>
      <c r="I8" s="19">
        <f>COUNTIFS(用户问题矩阵!I$2:I$9,"M")</f>
        <v>2</v>
      </c>
      <c r="J8" s="15" t="s">
        <v>328</v>
      </c>
      <c r="K8" s="15" t="s">
        <v>329</v>
      </c>
    </row>
    <row r="9" spans="1:11" ht="76.5" customHeight="1">
      <c r="A9" s="18" t="s">
        <v>107</v>
      </c>
      <c r="B9" s="15" t="s">
        <v>330</v>
      </c>
      <c r="C9" s="15" t="s">
        <v>331</v>
      </c>
      <c r="D9" s="15" t="s">
        <v>332</v>
      </c>
      <c r="E9" s="19">
        <f>COUNTIFS(用户问题矩阵!J$2:J$9,"E")+COUNTIFS(用户问题矩阵!J$2:J$9,"T")</f>
        <v>4</v>
      </c>
      <c r="F9" s="19">
        <f>COUNTIFS(用户问题矩阵!J$2:J$9,"A")</f>
        <v>0</v>
      </c>
      <c r="G9" s="19">
        <f>COUNTIFS(用户问题矩阵!J$2:J$9,"R")</f>
        <v>1</v>
      </c>
      <c r="H9" s="19">
        <f>COUNTIFS(用户问题矩阵!J$2:J$9,"N")</f>
        <v>2</v>
      </c>
      <c r="I9" s="19">
        <f>COUNTIFS(用户问题矩阵!J$2:J$9,"M")</f>
        <v>1</v>
      </c>
      <c r="J9" s="15" t="s">
        <v>333</v>
      </c>
      <c r="K9" s="15" t="s">
        <v>334</v>
      </c>
    </row>
    <row r="10" spans="1:11" ht="76.5" customHeight="1">
      <c r="A10" s="18" t="s">
        <v>117</v>
      </c>
      <c r="B10" s="15" t="s">
        <v>335</v>
      </c>
      <c r="C10" s="15" t="s">
        <v>336</v>
      </c>
      <c r="D10" s="15" t="s">
        <v>337</v>
      </c>
      <c r="E10" s="19">
        <f>COUNTIFS(用户问题矩阵!K$2:K$9,"E")+COUNTIFS(用户问题矩阵!K$2:K$9,"T")</f>
        <v>1</v>
      </c>
      <c r="F10" s="19">
        <f>COUNTIFS(用户问题矩阵!K$2:K$9,"A")</f>
        <v>3</v>
      </c>
      <c r="G10" s="19">
        <f>COUNTIFS(用户问题矩阵!K$2:K$9,"R")</f>
        <v>0</v>
      </c>
      <c r="H10" s="19">
        <f>COUNTIFS(用户问题矩阵!K$2:K$9,"N")</f>
        <v>0</v>
      </c>
      <c r="I10" s="19">
        <f>COUNTIFS(用户问题矩阵!K$2:K$9,"M")</f>
        <v>4</v>
      </c>
      <c r="J10" s="15" t="s">
        <v>338</v>
      </c>
      <c r="K10" s="15" t="s">
        <v>339</v>
      </c>
    </row>
    <row r="11" spans="1:11" ht="76.5" customHeight="1">
      <c r="A11" s="18" t="s">
        <v>97</v>
      </c>
      <c r="B11" s="15" t="s">
        <v>340</v>
      </c>
      <c r="C11" s="15" t="s">
        <v>341</v>
      </c>
      <c r="D11" s="15" t="s">
        <v>342</v>
      </c>
      <c r="E11" s="19">
        <f>COUNTIFS(用户问题矩阵!L$2:L$9,"E")+COUNTIFS(用户问题矩阵!L$2:L$9,"T")</f>
        <v>2</v>
      </c>
      <c r="F11" s="19">
        <f>COUNTIFS(用户问题矩阵!L$2:L$9,"A")</f>
        <v>5</v>
      </c>
      <c r="G11" s="19">
        <f>COUNTIFS(用户问题矩阵!L$2:L$9,"R")</f>
        <v>1</v>
      </c>
      <c r="H11" s="19">
        <f>COUNTIFS(用户问题矩阵!L$2:L$9,"N")</f>
        <v>0</v>
      </c>
      <c r="I11" s="19">
        <f>COUNTIFS(用户问题矩阵!L$2:L$9,"M")</f>
        <v>0</v>
      </c>
      <c r="J11" s="15" t="s">
        <v>343</v>
      </c>
      <c r="K11" s="15" t="s">
        <v>344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0"/>
  </sheetPr>
  <dimension ref="A1:L13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E2" sqref="E2"/>
    </sheetView>
  </sheetViews>
  <sheetFormatPr defaultRowHeight="13.5"/>
  <cols>
    <col min="1" max="1" width="8.3125" customWidth="1"/>
    <col min="2" max="2" width="13.3125" customWidth="1"/>
    <col min="3" max="12" width="16.125" customWidth="1"/>
  </cols>
  <sheetData>
    <row r="1" spans="1:12" s="7" customFormat="1" ht="45" customHeight="1">
      <c r="A1" s="3" t="s">
        <v>345</v>
      </c>
      <c r="B1" s="3" t="s">
        <v>346</v>
      </c>
      <c r="C1" s="3" t="s">
        <v>347</v>
      </c>
      <c r="D1" s="3" t="s">
        <v>348</v>
      </c>
      <c r="E1" s="3" t="s">
        <v>349</v>
      </c>
      <c r="F1" s="3" t="s">
        <v>350</v>
      </c>
      <c r="G1" s="3" t="s">
        <v>351</v>
      </c>
      <c r="H1" s="3" t="s">
        <v>352</v>
      </c>
      <c r="I1" s="3" t="s">
        <v>353</v>
      </c>
      <c r="J1" s="3" t="s">
        <v>354</v>
      </c>
      <c r="K1" s="3" t="s">
        <v>355</v>
      </c>
      <c r="L1" s="3" t="s">
        <v>356</v>
      </c>
    </row>
    <row r="2" spans="1:12" ht="31.5" customHeight="1">
      <c r="A2" s="18" t="s">
        <v>357</v>
      </c>
      <c r="B2" s="15" t="s">
        <v>358</v>
      </c>
      <c r="C2" s="20" t="s">
        <v>359</v>
      </c>
      <c r="D2" s="20" t="s">
        <v>359</v>
      </c>
      <c r="E2" s="20" t="s">
        <v>360</v>
      </c>
      <c r="F2" s="20" t="s">
        <v>359</v>
      </c>
      <c r="G2" s="20" t="s">
        <v>359</v>
      </c>
      <c r="H2" s="20" t="s">
        <v>361</v>
      </c>
      <c r="I2" s="20" t="s">
        <v>362</v>
      </c>
      <c r="J2" s="20" t="s">
        <v>360</v>
      </c>
      <c r="K2" s="20" t="s">
        <v>362</v>
      </c>
      <c r="L2" s="20" t="s">
        <v>362</v>
      </c>
    </row>
    <row r="3" spans="1:12" ht="31.5" customHeight="1">
      <c r="A3" s="18" t="s">
        <v>363</v>
      </c>
      <c r="B3" s="15" t="s">
        <v>364</v>
      </c>
      <c r="C3" s="20" t="s">
        <v>360</v>
      </c>
      <c r="D3" s="20" t="s">
        <v>362</v>
      </c>
      <c r="E3" s="20" t="s">
        <v>359</v>
      </c>
      <c r="F3" s="20" t="s">
        <v>362</v>
      </c>
      <c r="G3" s="20" t="s">
        <v>361</v>
      </c>
      <c r="H3" s="20" t="s">
        <v>362</v>
      </c>
      <c r="I3" s="20" t="s">
        <v>362</v>
      </c>
      <c r="J3" s="20" t="s">
        <v>365</v>
      </c>
      <c r="K3" s="20" t="s">
        <v>362</v>
      </c>
      <c r="L3" s="20" t="s">
        <v>362</v>
      </c>
    </row>
    <row r="4" spans="1:12" ht="31.5" customHeight="1">
      <c r="A4" s="18" t="s">
        <v>366</v>
      </c>
      <c r="B4" s="15" t="s">
        <v>367</v>
      </c>
      <c r="C4" s="20" t="s">
        <v>368</v>
      </c>
      <c r="D4" s="20" t="s">
        <v>359</v>
      </c>
      <c r="E4" s="20" t="s">
        <v>359</v>
      </c>
      <c r="F4" s="20" t="s">
        <v>362</v>
      </c>
      <c r="G4" s="20" t="s">
        <v>365</v>
      </c>
      <c r="H4" s="20" t="s">
        <v>365</v>
      </c>
      <c r="I4" s="20" t="s">
        <v>359</v>
      </c>
      <c r="J4" s="20" t="s">
        <v>368</v>
      </c>
      <c r="K4" s="20" t="s">
        <v>365</v>
      </c>
      <c r="L4" s="20" t="s">
        <v>362</v>
      </c>
    </row>
    <row r="5" spans="1:12" ht="31.5" customHeight="1">
      <c r="A5" s="18" t="s">
        <v>369</v>
      </c>
      <c r="B5" s="15" t="s">
        <v>358</v>
      </c>
      <c r="C5" s="20" t="s">
        <v>360</v>
      </c>
      <c r="D5" s="20" t="s">
        <v>360</v>
      </c>
      <c r="E5" s="20" t="s">
        <v>360</v>
      </c>
      <c r="F5" s="20" t="s">
        <v>359</v>
      </c>
      <c r="G5" s="20" t="s">
        <v>359</v>
      </c>
      <c r="H5" s="20" t="s">
        <v>359</v>
      </c>
      <c r="I5" s="20" t="s">
        <v>362</v>
      </c>
      <c r="J5" s="20" t="s">
        <v>360</v>
      </c>
      <c r="K5" s="20" t="s">
        <v>365</v>
      </c>
      <c r="L5" s="20" t="s">
        <v>362</v>
      </c>
    </row>
    <row r="6" spans="1:12" ht="31.5" customHeight="1">
      <c r="A6" s="18" t="s">
        <v>370</v>
      </c>
      <c r="B6" s="15" t="s">
        <v>371</v>
      </c>
      <c r="C6" s="20" t="s">
        <v>368</v>
      </c>
      <c r="D6" s="20" t="s">
        <v>361</v>
      </c>
      <c r="E6" s="20" t="s">
        <v>361</v>
      </c>
      <c r="F6" s="20" t="s">
        <v>362</v>
      </c>
      <c r="G6" s="20" t="s">
        <v>361</v>
      </c>
      <c r="H6" s="20" t="s">
        <v>361</v>
      </c>
      <c r="I6" s="20" t="s">
        <v>362</v>
      </c>
      <c r="J6" s="20" t="s">
        <v>360</v>
      </c>
      <c r="K6" s="20" t="s">
        <v>362</v>
      </c>
      <c r="L6" s="20" t="s">
        <v>360</v>
      </c>
    </row>
    <row r="7" spans="1:12" ht="31.5" customHeight="1">
      <c r="A7" s="18" t="s">
        <v>372</v>
      </c>
      <c r="B7" s="15" t="s">
        <v>364</v>
      </c>
      <c r="C7" s="20" t="s">
        <v>361</v>
      </c>
      <c r="D7" s="20" t="s">
        <v>365</v>
      </c>
      <c r="E7" s="20" t="s">
        <v>365</v>
      </c>
      <c r="F7" s="20" t="s">
        <v>359</v>
      </c>
      <c r="G7" s="20" t="s">
        <v>368</v>
      </c>
      <c r="H7" s="20" t="s">
        <v>362</v>
      </c>
      <c r="I7" s="20" t="s">
        <v>365</v>
      </c>
      <c r="J7" s="20" t="s">
        <v>360</v>
      </c>
      <c r="K7" s="20" t="s">
        <v>365</v>
      </c>
      <c r="L7" s="20" t="s">
        <v>362</v>
      </c>
    </row>
    <row r="8" spans="1:12" ht="31.5" customHeight="1">
      <c r="A8" s="18" t="s">
        <v>373</v>
      </c>
      <c r="B8" s="15" t="s">
        <v>358</v>
      </c>
      <c r="C8" s="20" t="s">
        <v>361</v>
      </c>
      <c r="D8" s="20" t="s">
        <v>365</v>
      </c>
      <c r="E8" s="20" t="s">
        <v>365</v>
      </c>
      <c r="F8" s="20" t="s">
        <v>365</v>
      </c>
      <c r="G8" s="20" t="s">
        <v>365</v>
      </c>
      <c r="H8" s="20" t="s">
        <v>360</v>
      </c>
      <c r="I8" s="20" t="s">
        <v>359</v>
      </c>
      <c r="J8" s="20" t="s">
        <v>361</v>
      </c>
      <c r="K8" s="20" t="s">
        <v>360</v>
      </c>
      <c r="L8" s="20" t="s">
        <v>361</v>
      </c>
    </row>
    <row r="9" spans="1:12" ht="31.5" customHeight="1">
      <c r="A9" s="18" t="s">
        <v>374</v>
      </c>
      <c r="B9" s="15" t="s">
        <v>367</v>
      </c>
      <c r="C9" s="20" t="s">
        <v>368</v>
      </c>
      <c r="D9" s="20" t="s">
        <v>361</v>
      </c>
      <c r="E9" s="20" t="s">
        <v>365</v>
      </c>
      <c r="F9" s="20" t="s">
        <v>359</v>
      </c>
      <c r="G9" s="20" t="s">
        <v>359</v>
      </c>
      <c r="H9" s="20" t="s">
        <v>368</v>
      </c>
      <c r="I9" s="20" t="s">
        <v>365</v>
      </c>
      <c r="J9" s="20" t="s">
        <v>368</v>
      </c>
      <c r="K9" s="20" t="s">
        <v>365</v>
      </c>
      <c r="L9" s="20" t="s">
        <v>359</v>
      </c>
    </row>
    <row r="12" spans="1:12" ht="19.5" customHeight="1">
      <c r="A12" s="1" t="s">
        <v>375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</row>
    <row r="13" spans="1:12" ht="19.5" customHeight="1">
      <c r="A13" s="1" t="s">
        <v>376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</row>
  </sheetData>
  <phoneticPr fontId="3" type="noConversion"/>
  <conditionalFormatting sqref="C2:L9">
    <cfRule type="cellIs" dxfId="14" priority="1" operator="equal">
      <formula>"E"</formula>
    </cfRule>
    <cfRule type="cellIs" dxfId="13" priority="2" operator="equal">
      <formula>"T"</formula>
    </cfRule>
    <cfRule type="cellIs" dxfId="12" priority="3" operator="equal">
      <formula>"R"</formula>
    </cfRule>
    <cfRule type="cellIs" dxfId="11" priority="4" operator="equal">
      <formula>"N"</formula>
    </cfRule>
    <cfRule type="cellIs" dxfId="10" priority="5" operator="equal">
      <formula>"M"</formula>
    </cfRule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0"/>
  </sheetPr>
  <dimension ref="A1:K17"/>
  <sheetViews>
    <sheetView showGridLines="0" tabSelected="1" workbookViewId="0">
      <pane xSplit="2" ySplit="1" topLeftCell="I2" activePane="bottomRight" state="frozen"/>
      <selection pane="topRight"/>
      <selection pane="bottomLeft"/>
      <selection pane="bottomRight" activeCell="I4" sqref="I4"/>
    </sheetView>
  </sheetViews>
  <sheetFormatPr defaultRowHeight="13.5"/>
  <cols>
    <col min="1" max="1" width="17.75" customWidth="1"/>
    <col min="2" max="2" width="7.25" customWidth="1"/>
    <col min="3" max="3" width="12.25" customWidth="1"/>
    <col min="4" max="4" width="8.875" customWidth="1"/>
    <col min="5" max="8" width="9.4375" customWidth="1"/>
    <col min="9" max="10" width="38.875" customWidth="1"/>
    <col min="11" max="11" width="48.875" customWidth="1"/>
  </cols>
  <sheetData>
    <row r="1" spans="1:11" s="7" customFormat="1" ht="28.5" customHeight="1">
      <c r="A1" s="3" t="s">
        <v>377</v>
      </c>
      <c r="B1" s="3" t="s">
        <v>345</v>
      </c>
      <c r="C1" s="3" t="s">
        <v>378</v>
      </c>
      <c r="D1" s="3" t="s">
        <v>379</v>
      </c>
      <c r="E1" s="3" t="s">
        <v>380</v>
      </c>
      <c r="F1" s="3" t="s">
        <v>381</v>
      </c>
      <c r="G1" s="3" t="s">
        <v>382</v>
      </c>
      <c r="H1" s="3" t="s">
        <v>383</v>
      </c>
      <c r="I1" s="3" t="s">
        <v>384</v>
      </c>
      <c r="J1" s="3" t="s">
        <v>385</v>
      </c>
      <c r="K1" s="3" t="s">
        <v>386</v>
      </c>
    </row>
    <row r="2" spans="1:11" ht="69" customHeight="1">
      <c r="A2" s="5" t="s">
        <v>387</v>
      </c>
      <c r="B2" s="6" t="s">
        <v>357</v>
      </c>
      <c r="C2" s="6" t="s">
        <v>388</v>
      </c>
      <c r="D2" s="21">
        <f>IF(COUNTIFS(任务步骤!B$2:B$48,A2,任务步骤!F$2:F$48,"待补时间")&gt;0,"待补时间",SUMIFS(任务步骤!F$2:F$48,任务步骤!B$2:B$48,A2))</f>
        <v>269</v>
      </c>
      <c r="E2" s="21">
        <f>SUMIFS(任务步骤!I$2:I$48,任务步骤!B$2:B$48,A2)</f>
        <v>3</v>
      </c>
      <c r="F2" s="21">
        <f>SUMIFS(任务步骤!J$2:J$48,任务步骤!B$2:B$48,A2)</f>
        <v>3</v>
      </c>
      <c r="G2" s="21">
        <f>SUMIFS(任务步骤!K$2:K$48,任务步骤!B$2:B$48,A2)</f>
        <v>3</v>
      </c>
      <c r="H2" s="21">
        <f>SUMIFS(任务步骤!L$2:L$48,任务步骤!B$2:B$48,A2)</f>
        <v>1</v>
      </c>
      <c r="I2" s="6" t="s">
        <v>389</v>
      </c>
      <c r="J2" s="6" t="s">
        <v>390</v>
      </c>
      <c r="K2" s="6" t="s">
        <v>391</v>
      </c>
    </row>
    <row r="3" spans="1:11" ht="69" customHeight="1">
      <c r="A3" s="5" t="s">
        <v>392</v>
      </c>
      <c r="B3" s="6" t="s">
        <v>357</v>
      </c>
      <c r="C3" s="6" t="s">
        <v>388</v>
      </c>
      <c r="D3" s="21">
        <f>IF(COUNTIFS(任务步骤!B$2:B$48,A3,任务步骤!F$2:F$48,"待补时间")&gt;0,"待补时间",SUMIFS(任务步骤!F$2:F$48,任务步骤!B$2:B$48,A3))</f>
        <v>150</v>
      </c>
      <c r="E3" s="21">
        <f>SUMIFS(任务步骤!I$2:I$48,任务步骤!B$2:B$48,A3)</f>
        <v>0</v>
      </c>
      <c r="F3" s="21">
        <f>SUMIFS(任务步骤!J$2:J$48,任务步骤!B$2:B$48,A3)</f>
        <v>2</v>
      </c>
      <c r="G3" s="21">
        <f>SUMIFS(任务步骤!K$2:K$48,任务步骤!B$2:B$48,A3)</f>
        <v>0</v>
      </c>
      <c r="H3" s="21">
        <f>SUMIFS(任务步骤!L$2:L$48,任务步骤!B$2:B$48,A3)</f>
        <v>0</v>
      </c>
      <c r="I3" s="6" t="s">
        <v>393</v>
      </c>
      <c r="J3" s="6" t="s">
        <v>394</v>
      </c>
      <c r="K3" s="6" t="s">
        <v>395</v>
      </c>
    </row>
    <row r="4" spans="1:11" ht="69" customHeight="1">
      <c r="A4" s="5" t="s">
        <v>396</v>
      </c>
      <c r="B4" s="6" t="s">
        <v>363</v>
      </c>
      <c r="C4" s="6" t="s">
        <v>397</v>
      </c>
      <c r="D4" s="21">
        <f>IF(COUNTIFS(任务步骤!B$2:B$48,A4,任务步骤!F$2:F$48,"待补时间")&gt;0,"待补时间",SUMIFS(任务步骤!F$2:F$48,任务步骤!B$2:B$48,A4))</f>
        <v>300</v>
      </c>
      <c r="E4" s="21">
        <f>SUMIFS(任务步骤!I$2:I$48,任务步骤!B$2:B$48,A4)</f>
        <v>0</v>
      </c>
      <c r="F4" s="21">
        <f>SUMIFS(任务步骤!J$2:J$48,任务步骤!B$2:B$48,A4)</f>
        <v>4</v>
      </c>
      <c r="G4" s="21">
        <f>SUMIFS(任务步骤!K$2:K$48,任务步骤!B$2:B$48,A4)</f>
        <v>0</v>
      </c>
      <c r="H4" s="21">
        <f>SUMIFS(任务步骤!L$2:L$48,任务步骤!B$2:B$48,A4)</f>
        <v>0</v>
      </c>
      <c r="I4" s="6" t="s">
        <v>398</v>
      </c>
      <c r="J4" s="6" t="s">
        <v>399</v>
      </c>
      <c r="K4" s="6" t="s">
        <v>400</v>
      </c>
    </row>
    <row r="5" spans="1:11" ht="69" customHeight="1">
      <c r="A5" s="5" t="s">
        <v>401</v>
      </c>
      <c r="B5" s="6" t="s">
        <v>363</v>
      </c>
      <c r="C5" s="6" t="s">
        <v>388</v>
      </c>
      <c r="D5" s="21">
        <f>IF(COUNTIFS(任务步骤!B$2:B$48,A5,任务步骤!F$2:F$48,"待补时间")&gt;0,"待补时间",SUMIFS(任务步骤!F$2:F$48,任务步骤!B$2:B$48,A5))</f>
        <v>180</v>
      </c>
      <c r="E5" s="21">
        <f>SUMIFS(任务步骤!I$2:I$48,任务步骤!B$2:B$48,A5)</f>
        <v>0</v>
      </c>
      <c r="F5" s="21">
        <f>SUMIFS(任务步骤!J$2:J$48,任务步骤!B$2:B$48,A5)</f>
        <v>3</v>
      </c>
      <c r="G5" s="21">
        <f>SUMIFS(任务步骤!K$2:K$48,任务步骤!B$2:B$48,A5)</f>
        <v>0</v>
      </c>
      <c r="H5" s="21">
        <f>SUMIFS(任务步骤!L$2:L$48,任务步骤!B$2:B$48,A5)</f>
        <v>0</v>
      </c>
      <c r="I5" s="6" t="s">
        <v>402</v>
      </c>
      <c r="J5" s="6" t="s">
        <v>403</v>
      </c>
      <c r="K5" s="6" t="s">
        <v>404</v>
      </c>
    </row>
    <row r="6" spans="1:11" ht="69" customHeight="1">
      <c r="A6" s="5" t="s">
        <v>405</v>
      </c>
      <c r="B6" s="6" t="s">
        <v>366</v>
      </c>
      <c r="C6" s="6" t="s">
        <v>388</v>
      </c>
      <c r="D6" s="21">
        <f>IF(COUNTIFS(任务步骤!B$2:B$48,A6,任务步骤!F$2:F$48,"待补时间")&gt;0,"待补时间",SUMIFS(任务步骤!F$2:F$48,任务步骤!B$2:B$48,A6))</f>
        <v>195</v>
      </c>
      <c r="E6" s="21">
        <f>SUMIFS(任务步骤!I$2:I$48,任务步骤!B$2:B$48,A6)</f>
        <v>2</v>
      </c>
      <c r="F6" s="21">
        <f>SUMIFS(任务步骤!J$2:J$48,任务步骤!B$2:B$48,A6)</f>
        <v>3</v>
      </c>
      <c r="G6" s="21">
        <f>SUMIFS(任务步骤!K$2:K$48,任务步骤!B$2:B$48,A6)</f>
        <v>0</v>
      </c>
      <c r="H6" s="21">
        <f>SUMIFS(任务步骤!L$2:L$48,任务步骤!B$2:B$48,A6)</f>
        <v>1</v>
      </c>
      <c r="I6" s="6" t="s">
        <v>406</v>
      </c>
      <c r="J6" s="6" t="s">
        <v>407</v>
      </c>
      <c r="K6" s="6" t="s">
        <v>408</v>
      </c>
    </row>
    <row r="7" spans="1:11" ht="69" customHeight="1">
      <c r="A7" s="5" t="s">
        <v>409</v>
      </c>
      <c r="B7" s="6" t="s">
        <v>366</v>
      </c>
      <c r="C7" s="6" t="s">
        <v>397</v>
      </c>
      <c r="D7" s="21">
        <f>IF(COUNTIFS(任务步骤!B$2:B$48,A7,任务步骤!F$2:F$48,"待补时间")&gt;0,"待补时间",SUMIFS(任务步骤!F$2:F$48,任务步骤!B$2:B$48,A7))</f>
        <v>240</v>
      </c>
      <c r="E7" s="21">
        <f>SUMIFS(任务步骤!I$2:I$48,任务步骤!B$2:B$48,A7)</f>
        <v>2</v>
      </c>
      <c r="F7" s="21">
        <f>SUMIFS(任务步骤!J$2:J$48,任务步骤!B$2:B$48,A7)</f>
        <v>3</v>
      </c>
      <c r="G7" s="21">
        <f>SUMIFS(任务步骤!K$2:K$48,任务步骤!B$2:B$48,A7)</f>
        <v>0</v>
      </c>
      <c r="H7" s="21">
        <f>SUMIFS(任务步骤!L$2:L$48,任务步骤!B$2:B$48,A7)</f>
        <v>0</v>
      </c>
      <c r="I7" s="6" t="s">
        <v>410</v>
      </c>
      <c r="J7" s="6" t="s">
        <v>411</v>
      </c>
      <c r="K7" s="6" t="s">
        <v>412</v>
      </c>
    </row>
    <row r="8" spans="1:11" ht="69" customHeight="1">
      <c r="A8" s="5" t="s">
        <v>413</v>
      </c>
      <c r="B8" s="6" t="s">
        <v>369</v>
      </c>
      <c r="C8" s="6" t="s">
        <v>388</v>
      </c>
      <c r="D8" s="21">
        <f>IF(COUNTIFS(任务步骤!B$2:B$48,A8,任务步骤!F$2:F$48,"待补时间")&gt;0,"待补时间",SUMIFS(任务步骤!F$2:F$48,任务步骤!B$2:B$48,A8))</f>
        <v>180</v>
      </c>
      <c r="E8" s="21">
        <f>SUMIFS(任务步骤!I$2:I$48,任务步骤!B$2:B$48,A8)</f>
        <v>1</v>
      </c>
      <c r="F8" s="21">
        <f>SUMIFS(任务步骤!J$2:J$48,任务步骤!B$2:B$48,A8)</f>
        <v>2</v>
      </c>
      <c r="G8" s="21">
        <f>SUMIFS(任务步骤!K$2:K$48,任务步骤!B$2:B$48,A8)</f>
        <v>1</v>
      </c>
      <c r="H8" s="21">
        <f>SUMIFS(任务步骤!L$2:L$48,任务步骤!B$2:B$48,A8)</f>
        <v>0</v>
      </c>
      <c r="I8" s="6" t="s">
        <v>414</v>
      </c>
      <c r="J8" s="6" t="s">
        <v>415</v>
      </c>
      <c r="K8" s="6" t="s">
        <v>416</v>
      </c>
    </row>
    <row r="9" spans="1:11" ht="69" customHeight="1">
      <c r="A9" s="5" t="s">
        <v>417</v>
      </c>
      <c r="B9" s="6" t="s">
        <v>369</v>
      </c>
      <c r="C9" s="6" t="s">
        <v>418</v>
      </c>
      <c r="D9" s="21">
        <f>IF(COUNTIFS(任务步骤!B$2:B$48,A9,任务步骤!F$2:F$48,"待补时间")&gt;0,"待补时间",SUMIFS(任务步骤!F$2:F$48,任务步骤!B$2:B$48,A9))</f>
        <v>300</v>
      </c>
      <c r="E9" s="21">
        <f>SUMIFS(任务步骤!I$2:I$48,任务步骤!B$2:B$48,A9)</f>
        <v>2</v>
      </c>
      <c r="F9" s="21">
        <f>SUMIFS(任务步骤!J$2:J$48,任务步骤!B$2:B$48,A9)</f>
        <v>4</v>
      </c>
      <c r="G9" s="21">
        <f>SUMIFS(任务步骤!K$2:K$48,任务步骤!B$2:B$48,A9)</f>
        <v>0</v>
      </c>
      <c r="H9" s="21">
        <f>SUMIFS(任务步骤!L$2:L$48,任务步骤!B$2:B$48,A9)</f>
        <v>0</v>
      </c>
      <c r="I9" s="6" t="s">
        <v>419</v>
      </c>
      <c r="J9" s="6" t="s">
        <v>420</v>
      </c>
      <c r="K9" s="6" t="s">
        <v>421</v>
      </c>
    </row>
    <row r="10" spans="1:11" ht="69" customHeight="1">
      <c r="A10" s="5" t="s">
        <v>422</v>
      </c>
      <c r="B10" s="6" t="s">
        <v>370</v>
      </c>
      <c r="C10" s="6" t="s">
        <v>388</v>
      </c>
      <c r="D10" s="21">
        <f>IF(COUNTIFS(任务步骤!B$2:B$48,A10,任务步骤!F$2:F$48,"待补时间")&gt;0,"待补时间",SUMIFS(任务步骤!F$2:F$48,任务步骤!B$2:B$48,A10))</f>
        <v>60</v>
      </c>
      <c r="E10" s="21">
        <f>SUMIFS(任务步骤!I$2:I$48,任务步骤!B$2:B$48,A10)</f>
        <v>0</v>
      </c>
      <c r="F10" s="21">
        <f>SUMIFS(任务步骤!J$2:J$48,任务步骤!B$2:B$48,A10)</f>
        <v>1</v>
      </c>
      <c r="G10" s="21">
        <f>SUMIFS(任务步骤!K$2:K$48,任务步骤!B$2:B$48,A10)</f>
        <v>0</v>
      </c>
      <c r="H10" s="21">
        <f>SUMIFS(任务步骤!L$2:L$48,任务步骤!B$2:B$48,A10)</f>
        <v>0</v>
      </c>
      <c r="I10" s="6" t="s">
        <v>423</v>
      </c>
      <c r="J10" s="6" t="s">
        <v>424</v>
      </c>
      <c r="K10" s="6" t="s">
        <v>425</v>
      </c>
    </row>
    <row r="11" spans="1:11" ht="69" customHeight="1">
      <c r="A11" s="5" t="s">
        <v>426</v>
      </c>
      <c r="B11" s="6" t="s">
        <v>370</v>
      </c>
      <c r="C11" s="6" t="s">
        <v>388</v>
      </c>
      <c r="D11" s="21">
        <f>IF(COUNTIFS(任务步骤!B$2:B$48,A11,任务步骤!F$2:F$48,"待补时间")&gt;0,"待补时间",SUMIFS(任务步骤!F$2:F$48,任务步骤!B$2:B$48,A11))</f>
        <v>120</v>
      </c>
      <c r="E11" s="21">
        <f>SUMIFS(任务步骤!I$2:I$48,任务步骤!B$2:B$48,A11)</f>
        <v>1</v>
      </c>
      <c r="F11" s="21">
        <f>SUMIFS(任务步骤!J$2:J$48,任务步骤!B$2:B$48,A11)</f>
        <v>0</v>
      </c>
      <c r="G11" s="21">
        <f>SUMIFS(任务步骤!K$2:K$48,任务步骤!B$2:B$48,A11)</f>
        <v>1</v>
      </c>
      <c r="H11" s="21">
        <f>SUMIFS(任务步骤!L$2:L$48,任务步骤!B$2:B$48,A11)</f>
        <v>0</v>
      </c>
      <c r="I11" s="6" t="s">
        <v>427</v>
      </c>
      <c r="J11" s="6" t="s">
        <v>428</v>
      </c>
      <c r="K11" s="6" t="s">
        <v>429</v>
      </c>
    </row>
    <row r="12" spans="1:11" ht="69" customHeight="1">
      <c r="A12" s="5" t="s">
        <v>430</v>
      </c>
      <c r="B12" s="6" t="s">
        <v>372</v>
      </c>
      <c r="C12" s="6" t="s">
        <v>388</v>
      </c>
      <c r="D12" s="21">
        <f>IF(COUNTIFS(任务步骤!B$2:B$48,A12,任务步骤!F$2:F$48,"待补时间")&gt;0,"待补时间",SUMIFS(任务步骤!F$2:F$48,任务步骤!B$2:B$48,A12))</f>
        <v>100</v>
      </c>
      <c r="E12" s="21">
        <f>SUMIFS(任务步骤!I$2:I$48,任务步骤!B$2:B$48,A12)</f>
        <v>1</v>
      </c>
      <c r="F12" s="21">
        <f>SUMIFS(任务步骤!J$2:J$48,任务步骤!B$2:B$48,A12)</f>
        <v>1</v>
      </c>
      <c r="G12" s="21">
        <f>SUMIFS(任务步骤!K$2:K$48,任务步骤!B$2:B$48,A12)</f>
        <v>1</v>
      </c>
      <c r="H12" s="21">
        <f>SUMIFS(任务步骤!L$2:L$48,任务步骤!B$2:B$48,A12)</f>
        <v>0</v>
      </c>
      <c r="I12" s="6" t="s">
        <v>431</v>
      </c>
      <c r="J12" s="6" t="s">
        <v>432</v>
      </c>
      <c r="K12" s="6" t="s">
        <v>433</v>
      </c>
    </row>
    <row r="13" spans="1:11" ht="69" customHeight="1">
      <c r="A13" s="5" t="s">
        <v>434</v>
      </c>
      <c r="B13" s="6" t="s">
        <v>372</v>
      </c>
      <c r="C13" s="6" t="s">
        <v>388</v>
      </c>
      <c r="D13" s="21">
        <f>IF(COUNTIFS(任务步骤!B$2:B$48,A13,任务步骤!F$2:F$48,"待补时间")&gt;0,"待补时间",SUMIFS(任务步骤!F$2:F$48,任务步骤!B$2:B$48,A13))</f>
        <v>130</v>
      </c>
      <c r="E13" s="21">
        <f>SUMIFS(任务步骤!I$2:I$48,任务步骤!B$2:B$48,A13)</f>
        <v>0</v>
      </c>
      <c r="F13" s="21">
        <f>SUMIFS(任务步骤!J$2:J$48,任务步骤!B$2:B$48,A13)</f>
        <v>1</v>
      </c>
      <c r="G13" s="21">
        <f>SUMIFS(任务步骤!K$2:K$48,任务步骤!B$2:B$48,A13)</f>
        <v>0</v>
      </c>
      <c r="H13" s="21">
        <f>SUMIFS(任务步骤!L$2:L$48,任务步骤!B$2:B$48,A13)</f>
        <v>0</v>
      </c>
      <c r="I13" s="6" t="s">
        <v>435</v>
      </c>
      <c r="J13" s="6" t="s">
        <v>436</v>
      </c>
      <c r="K13" s="6" t="s">
        <v>437</v>
      </c>
    </row>
    <row r="14" spans="1:11" ht="69" customHeight="1">
      <c r="A14" s="5" t="s">
        <v>438</v>
      </c>
      <c r="B14" s="6" t="s">
        <v>373</v>
      </c>
      <c r="C14" s="6" t="s">
        <v>388</v>
      </c>
      <c r="D14" s="21">
        <f>IF(COUNTIFS(任务步骤!B$2:B$48,A14,任务步骤!F$2:F$48,"待补时间")&gt;0,"待补时间",SUMIFS(任务步骤!F$2:F$48,任务步骤!B$2:B$48,A14))</f>
        <v>55</v>
      </c>
      <c r="E14" s="21">
        <f>SUMIFS(任务步骤!I$2:I$48,任务步骤!B$2:B$48,A14)</f>
        <v>1</v>
      </c>
      <c r="F14" s="21">
        <f>SUMIFS(任务步骤!J$2:J$48,任务步骤!B$2:B$48,A14)</f>
        <v>1</v>
      </c>
      <c r="G14" s="21">
        <f>SUMIFS(任务步骤!K$2:K$48,任务步骤!B$2:B$48,A14)</f>
        <v>0</v>
      </c>
      <c r="H14" s="21">
        <f>SUMIFS(任务步骤!L$2:L$48,任务步骤!B$2:B$48,A14)</f>
        <v>0</v>
      </c>
      <c r="I14" s="6" t="s">
        <v>439</v>
      </c>
      <c r="J14" s="6" t="s">
        <v>440</v>
      </c>
      <c r="K14" s="6" t="s">
        <v>441</v>
      </c>
    </row>
    <row r="15" spans="1:11" ht="69" customHeight="1">
      <c r="A15" s="5" t="s">
        <v>442</v>
      </c>
      <c r="B15" s="6" t="s">
        <v>373</v>
      </c>
      <c r="C15" s="6" t="s">
        <v>397</v>
      </c>
      <c r="D15" s="21">
        <f>IF(COUNTIFS(任务步骤!B$2:B$48,A15,任务步骤!F$2:F$48,"待补时间")&gt;0,"待补时间",SUMIFS(任务步骤!F$2:F$48,任务步骤!B$2:B$48,A15))</f>
        <v>80</v>
      </c>
      <c r="E15" s="21">
        <f>SUMIFS(任务步骤!I$2:I$48,任务步骤!B$2:B$48,A15)</f>
        <v>1</v>
      </c>
      <c r="F15" s="21">
        <f>SUMIFS(任务步骤!J$2:J$48,任务步骤!B$2:B$48,A15)</f>
        <v>1</v>
      </c>
      <c r="G15" s="21">
        <f>SUMIFS(任务步骤!K$2:K$48,任务步骤!B$2:B$48,A15)</f>
        <v>0</v>
      </c>
      <c r="H15" s="21">
        <f>SUMIFS(任务步骤!L$2:L$48,任务步骤!B$2:B$48,A15)</f>
        <v>0</v>
      </c>
      <c r="I15" s="6" t="s">
        <v>443</v>
      </c>
      <c r="J15" s="6" t="s">
        <v>444</v>
      </c>
      <c r="K15" s="6" t="s">
        <v>445</v>
      </c>
    </row>
    <row r="16" spans="1:11" ht="69" customHeight="1">
      <c r="A16" s="5" t="s">
        <v>446</v>
      </c>
      <c r="B16" s="6" t="s">
        <v>374</v>
      </c>
      <c r="C16" s="6" t="s">
        <v>388</v>
      </c>
      <c r="D16" s="21">
        <f>IF(COUNTIFS(任务步骤!B$2:B$48,A16,任务步骤!F$2:F$48,"待补时间")&gt;0,"待补时间",SUMIFS(任务步骤!F$2:F$48,任务步骤!B$2:B$48,A16))</f>
        <v>70</v>
      </c>
      <c r="E16" s="21">
        <f>SUMIFS(任务步骤!I$2:I$48,任务步骤!B$2:B$48,A16)</f>
        <v>0</v>
      </c>
      <c r="F16" s="21">
        <f>SUMIFS(任务步骤!J$2:J$48,任务步骤!B$2:B$48,A16)</f>
        <v>1</v>
      </c>
      <c r="G16" s="21">
        <f>SUMIFS(任务步骤!K$2:K$48,任务步骤!B$2:B$48,A16)</f>
        <v>0</v>
      </c>
      <c r="H16" s="21">
        <f>SUMIFS(任务步骤!L$2:L$48,任务步骤!B$2:B$48,A16)</f>
        <v>0</v>
      </c>
      <c r="I16" s="6" t="s">
        <v>447</v>
      </c>
      <c r="J16" s="6" t="s">
        <v>448</v>
      </c>
      <c r="K16" s="6" t="s">
        <v>449</v>
      </c>
    </row>
    <row r="17" spans="1:11" ht="69" customHeight="1">
      <c r="A17" s="5" t="s">
        <v>450</v>
      </c>
      <c r="B17" s="6" t="s">
        <v>374</v>
      </c>
      <c r="C17" s="6" t="s">
        <v>388</v>
      </c>
      <c r="D17" s="21">
        <f>IF(COUNTIFS(任务步骤!B$2:B$48,A17,任务步骤!F$2:F$48,"待补时间")&gt;0,"待补时间",SUMIFS(任务步骤!F$2:F$48,任务步骤!B$2:B$48,A17))</f>
        <v>110</v>
      </c>
      <c r="E17" s="21">
        <f>SUMIFS(任务步骤!I$2:I$48,任务步骤!B$2:B$48,A17)</f>
        <v>1</v>
      </c>
      <c r="F17" s="21">
        <f>SUMIFS(任务步骤!J$2:J$48,任务步骤!B$2:B$48,A17)</f>
        <v>1</v>
      </c>
      <c r="G17" s="21">
        <f>SUMIFS(任务步骤!K$2:K$48,任务步骤!B$2:B$48,A17)</f>
        <v>0</v>
      </c>
      <c r="H17" s="21">
        <f>SUMIFS(任务步骤!L$2:L$48,任务步骤!B$2:B$48,A17)</f>
        <v>0</v>
      </c>
      <c r="I17" s="6" t="s">
        <v>451</v>
      </c>
      <c r="J17" s="6" t="s">
        <v>452</v>
      </c>
      <c r="K17" s="6" t="s">
        <v>453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0"/>
  </sheetPr>
  <dimension ref="A1:L48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D5" sqref="D5"/>
    </sheetView>
  </sheetViews>
  <sheetFormatPr defaultRowHeight="11.65"/>
  <cols>
    <col min="1" max="1" width="20" style="12" customWidth="1"/>
    <col min="2" max="2" width="17.25" style="12" customWidth="1"/>
    <col min="3" max="3" width="7.25" style="12" customWidth="1"/>
    <col min="4" max="6" width="10" style="12" customWidth="1"/>
    <col min="7" max="7" width="48.875" style="12" customWidth="1"/>
    <col min="8" max="8" width="18.875" style="12" customWidth="1"/>
    <col min="9" max="12" width="10" style="12" customWidth="1"/>
    <col min="13" max="16384" width="9" style="12"/>
  </cols>
  <sheetData>
    <row r="1" spans="1:12" ht="28.5" customHeight="1">
      <c r="A1" s="11" t="s">
        <v>454</v>
      </c>
      <c r="B1" s="11" t="s">
        <v>377</v>
      </c>
      <c r="C1" s="11" t="s">
        <v>345</v>
      </c>
      <c r="D1" s="11" t="s">
        <v>455</v>
      </c>
      <c r="E1" s="11" t="s">
        <v>456</v>
      </c>
      <c r="F1" s="11" t="s">
        <v>457</v>
      </c>
      <c r="G1" s="11" t="s">
        <v>458</v>
      </c>
      <c r="H1" s="11" t="s">
        <v>459</v>
      </c>
      <c r="I1" s="11" t="s">
        <v>380</v>
      </c>
      <c r="J1" s="11" t="s">
        <v>381</v>
      </c>
      <c r="K1" s="11" t="s">
        <v>382</v>
      </c>
      <c r="L1" s="11" t="s">
        <v>383</v>
      </c>
    </row>
    <row r="2" spans="1:12" ht="52.5" customHeight="1">
      <c r="A2" s="18" t="s">
        <v>460</v>
      </c>
      <c r="B2" s="15" t="s">
        <v>387</v>
      </c>
      <c r="C2" s="15" t="s">
        <v>357</v>
      </c>
      <c r="D2" s="19">
        <v>0</v>
      </c>
      <c r="E2" s="19">
        <v>35</v>
      </c>
      <c r="F2" s="19">
        <f t="shared" ref="F2:F48" si="0">IF(AND(ISNUMBER(D2),ISNUMBER(E2)),E2-D2,"待补时间")</f>
        <v>35</v>
      </c>
      <c r="G2" s="15" t="s">
        <v>461</v>
      </c>
      <c r="H2" s="15" t="s">
        <v>462</v>
      </c>
      <c r="I2" s="19">
        <v>0</v>
      </c>
      <c r="J2" s="19">
        <v>1</v>
      </c>
      <c r="K2" s="19">
        <v>0</v>
      </c>
      <c r="L2" s="19">
        <v>0</v>
      </c>
    </row>
    <row r="3" spans="1:12" ht="52.5" customHeight="1">
      <c r="A3" s="18" t="s">
        <v>463</v>
      </c>
      <c r="B3" s="15" t="s">
        <v>387</v>
      </c>
      <c r="C3" s="15" t="s">
        <v>357</v>
      </c>
      <c r="D3" s="19">
        <v>35</v>
      </c>
      <c r="E3" s="19">
        <v>113</v>
      </c>
      <c r="F3" s="19">
        <f t="shared" si="0"/>
        <v>78</v>
      </c>
      <c r="G3" s="15" t="s">
        <v>464</v>
      </c>
      <c r="H3" s="15" t="s">
        <v>465</v>
      </c>
      <c r="I3" s="19">
        <v>1</v>
      </c>
      <c r="J3" s="19">
        <v>1</v>
      </c>
      <c r="K3" s="19">
        <v>0</v>
      </c>
      <c r="L3" s="19">
        <v>1</v>
      </c>
    </row>
    <row r="4" spans="1:12" ht="52.5" customHeight="1">
      <c r="A4" s="18" t="s">
        <v>466</v>
      </c>
      <c r="B4" s="15" t="s">
        <v>387</v>
      </c>
      <c r="C4" s="15" t="s">
        <v>357</v>
      </c>
      <c r="D4" s="19">
        <v>113</v>
      </c>
      <c r="E4" s="19">
        <v>217</v>
      </c>
      <c r="F4" s="19">
        <f t="shared" si="0"/>
        <v>104</v>
      </c>
      <c r="G4" s="15" t="s">
        <v>467</v>
      </c>
      <c r="H4" s="15" t="s">
        <v>462</v>
      </c>
      <c r="I4" s="19">
        <v>1</v>
      </c>
      <c r="J4" s="19">
        <v>1</v>
      </c>
      <c r="K4" s="19">
        <v>2</v>
      </c>
      <c r="L4" s="19">
        <v>0</v>
      </c>
    </row>
    <row r="5" spans="1:12" ht="52.5" customHeight="1">
      <c r="A5" s="18" t="s">
        <v>468</v>
      </c>
      <c r="B5" s="15" t="s">
        <v>387</v>
      </c>
      <c r="C5" s="15" t="s">
        <v>357</v>
      </c>
      <c r="D5" s="19">
        <v>217</v>
      </c>
      <c r="E5" s="19">
        <v>269</v>
      </c>
      <c r="F5" s="19">
        <f t="shared" si="0"/>
        <v>52</v>
      </c>
      <c r="G5" s="15" t="s">
        <v>469</v>
      </c>
      <c r="H5" s="15" t="s">
        <v>470</v>
      </c>
      <c r="I5" s="19">
        <v>1</v>
      </c>
      <c r="J5" s="19">
        <v>0</v>
      </c>
      <c r="K5" s="19">
        <v>1</v>
      </c>
      <c r="L5" s="19">
        <v>0</v>
      </c>
    </row>
    <row r="6" spans="1:12" ht="52.5" customHeight="1">
      <c r="A6" s="18" t="s">
        <v>471</v>
      </c>
      <c r="B6" s="15" t="s">
        <v>392</v>
      </c>
      <c r="C6" s="15" t="s">
        <v>357</v>
      </c>
      <c r="D6" s="19">
        <v>0</v>
      </c>
      <c r="E6" s="19">
        <v>42</v>
      </c>
      <c r="F6" s="19">
        <f t="shared" si="0"/>
        <v>42</v>
      </c>
      <c r="G6" s="15" t="s">
        <v>472</v>
      </c>
      <c r="H6" s="15" t="s">
        <v>462</v>
      </c>
      <c r="I6" s="19">
        <v>0</v>
      </c>
      <c r="J6" s="19">
        <v>1</v>
      </c>
      <c r="K6" s="19">
        <v>0</v>
      </c>
      <c r="L6" s="19">
        <v>0</v>
      </c>
    </row>
    <row r="7" spans="1:12" ht="52.5" customHeight="1">
      <c r="A7" s="18" t="s">
        <v>473</v>
      </c>
      <c r="B7" s="15" t="s">
        <v>392</v>
      </c>
      <c r="C7" s="15" t="s">
        <v>357</v>
      </c>
      <c r="D7" s="19">
        <v>42</v>
      </c>
      <c r="E7" s="19">
        <v>110</v>
      </c>
      <c r="F7" s="19">
        <f t="shared" si="0"/>
        <v>68</v>
      </c>
      <c r="G7" s="15" t="s">
        <v>474</v>
      </c>
      <c r="H7" s="15" t="s">
        <v>462</v>
      </c>
      <c r="I7" s="19">
        <v>0</v>
      </c>
      <c r="J7" s="19">
        <v>1</v>
      </c>
      <c r="K7" s="19">
        <v>0</v>
      </c>
      <c r="L7" s="19">
        <v>0</v>
      </c>
    </row>
    <row r="8" spans="1:12" ht="52.5" customHeight="1">
      <c r="A8" s="18" t="s">
        <v>475</v>
      </c>
      <c r="B8" s="15" t="s">
        <v>392</v>
      </c>
      <c r="C8" s="15" t="s">
        <v>357</v>
      </c>
      <c r="D8" s="19">
        <v>110</v>
      </c>
      <c r="E8" s="19">
        <v>150</v>
      </c>
      <c r="F8" s="19">
        <f t="shared" si="0"/>
        <v>40</v>
      </c>
      <c r="G8" s="15" t="s">
        <v>476</v>
      </c>
      <c r="H8" s="15" t="s">
        <v>462</v>
      </c>
      <c r="I8" s="19">
        <v>0</v>
      </c>
      <c r="J8" s="19">
        <v>0</v>
      </c>
      <c r="K8" s="19">
        <v>0</v>
      </c>
      <c r="L8" s="19">
        <v>0</v>
      </c>
    </row>
    <row r="9" spans="1:12" ht="52.5" customHeight="1">
      <c r="A9" s="18" t="s">
        <v>477</v>
      </c>
      <c r="B9" s="15" t="s">
        <v>396</v>
      </c>
      <c r="C9" s="15" t="s">
        <v>363</v>
      </c>
      <c r="D9" s="19">
        <v>0</v>
      </c>
      <c r="E9" s="19">
        <v>55</v>
      </c>
      <c r="F9" s="19">
        <f t="shared" si="0"/>
        <v>55</v>
      </c>
      <c r="G9" s="15" t="s">
        <v>478</v>
      </c>
      <c r="H9" s="15" t="s">
        <v>479</v>
      </c>
      <c r="I9" s="19">
        <v>0</v>
      </c>
      <c r="J9" s="19">
        <v>1</v>
      </c>
      <c r="K9" s="19">
        <v>0</v>
      </c>
      <c r="L9" s="19">
        <v>0</v>
      </c>
    </row>
    <row r="10" spans="1:12" ht="52.5" customHeight="1">
      <c r="A10" s="18" t="s">
        <v>480</v>
      </c>
      <c r="B10" s="15" t="s">
        <v>396</v>
      </c>
      <c r="C10" s="15" t="s">
        <v>363</v>
      </c>
      <c r="D10" s="19">
        <v>55</v>
      </c>
      <c r="E10" s="19">
        <v>141</v>
      </c>
      <c r="F10" s="19">
        <f t="shared" si="0"/>
        <v>86</v>
      </c>
      <c r="G10" s="15" t="s">
        <v>481</v>
      </c>
      <c r="H10" s="15" t="s">
        <v>479</v>
      </c>
      <c r="I10" s="19">
        <v>0</v>
      </c>
      <c r="J10" s="19">
        <v>1</v>
      </c>
      <c r="K10" s="19">
        <v>0</v>
      </c>
      <c r="L10" s="19">
        <v>0</v>
      </c>
    </row>
    <row r="11" spans="1:12" ht="52.5" customHeight="1">
      <c r="A11" s="18" t="s">
        <v>482</v>
      </c>
      <c r="B11" s="15" t="s">
        <v>396</v>
      </c>
      <c r="C11" s="15" t="s">
        <v>363</v>
      </c>
      <c r="D11" s="19">
        <v>141</v>
      </c>
      <c r="E11" s="19">
        <v>243</v>
      </c>
      <c r="F11" s="19">
        <f t="shared" si="0"/>
        <v>102</v>
      </c>
      <c r="G11" s="15" t="s">
        <v>483</v>
      </c>
      <c r="H11" s="15" t="s">
        <v>479</v>
      </c>
      <c r="I11" s="19">
        <v>0</v>
      </c>
      <c r="J11" s="19">
        <v>1</v>
      </c>
      <c r="K11" s="19">
        <v>0</v>
      </c>
      <c r="L11" s="19">
        <v>0</v>
      </c>
    </row>
    <row r="12" spans="1:12" ht="52.5" customHeight="1">
      <c r="A12" s="18" t="s">
        <v>484</v>
      </c>
      <c r="B12" s="15" t="s">
        <v>396</v>
      </c>
      <c r="C12" s="15" t="s">
        <v>363</v>
      </c>
      <c r="D12" s="19">
        <v>243</v>
      </c>
      <c r="E12" s="19">
        <v>300</v>
      </c>
      <c r="F12" s="19">
        <f t="shared" si="0"/>
        <v>57</v>
      </c>
      <c r="G12" s="15" t="s">
        <v>485</v>
      </c>
      <c r="H12" s="15" t="s">
        <v>479</v>
      </c>
      <c r="I12" s="19">
        <v>0</v>
      </c>
      <c r="J12" s="19">
        <v>1</v>
      </c>
      <c r="K12" s="19">
        <v>0</v>
      </c>
      <c r="L12" s="19">
        <v>0</v>
      </c>
    </row>
    <row r="13" spans="1:12" ht="52.5" customHeight="1">
      <c r="A13" s="18" t="s">
        <v>486</v>
      </c>
      <c r="B13" s="15" t="s">
        <v>401</v>
      </c>
      <c r="C13" s="15" t="s">
        <v>363</v>
      </c>
      <c r="D13" s="19">
        <v>0</v>
      </c>
      <c r="E13" s="19">
        <v>44</v>
      </c>
      <c r="F13" s="19">
        <f t="shared" si="0"/>
        <v>44</v>
      </c>
      <c r="G13" s="15" t="s">
        <v>487</v>
      </c>
      <c r="H13" s="15" t="s">
        <v>479</v>
      </c>
      <c r="I13" s="19">
        <v>0</v>
      </c>
      <c r="J13" s="19">
        <v>1</v>
      </c>
      <c r="K13" s="19">
        <v>0</v>
      </c>
      <c r="L13" s="19">
        <v>0</v>
      </c>
    </row>
    <row r="14" spans="1:12" ht="52.5" customHeight="1">
      <c r="A14" s="18" t="s">
        <v>488</v>
      </c>
      <c r="B14" s="15" t="s">
        <v>401</v>
      </c>
      <c r="C14" s="15" t="s">
        <v>363</v>
      </c>
      <c r="D14" s="19">
        <v>44</v>
      </c>
      <c r="E14" s="19">
        <v>115</v>
      </c>
      <c r="F14" s="19">
        <f t="shared" si="0"/>
        <v>71</v>
      </c>
      <c r="G14" s="15" t="s">
        <v>489</v>
      </c>
      <c r="H14" s="15" t="s">
        <v>479</v>
      </c>
      <c r="I14" s="19">
        <v>0</v>
      </c>
      <c r="J14" s="19">
        <v>1</v>
      </c>
      <c r="K14" s="19">
        <v>0</v>
      </c>
      <c r="L14" s="19">
        <v>0</v>
      </c>
    </row>
    <row r="15" spans="1:12" ht="52.5" customHeight="1">
      <c r="A15" s="18" t="s">
        <v>490</v>
      </c>
      <c r="B15" s="15" t="s">
        <v>401</v>
      </c>
      <c r="C15" s="15" t="s">
        <v>363</v>
      </c>
      <c r="D15" s="19">
        <v>115</v>
      </c>
      <c r="E15" s="19">
        <v>180</v>
      </c>
      <c r="F15" s="19">
        <f t="shared" si="0"/>
        <v>65</v>
      </c>
      <c r="G15" s="15" t="s">
        <v>491</v>
      </c>
      <c r="H15" s="15" t="s">
        <v>479</v>
      </c>
      <c r="I15" s="19">
        <v>0</v>
      </c>
      <c r="J15" s="19">
        <v>1</v>
      </c>
      <c r="K15" s="19">
        <v>0</v>
      </c>
      <c r="L15" s="19">
        <v>0</v>
      </c>
    </row>
    <row r="16" spans="1:12" ht="52.5" customHeight="1">
      <c r="A16" s="18" t="s">
        <v>492</v>
      </c>
      <c r="B16" s="15" t="s">
        <v>405</v>
      </c>
      <c r="C16" s="15" t="s">
        <v>366</v>
      </c>
      <c r="D16" s="19">
        <v>0</v>
      </c>
      <c r="E16" s="19">
        <v>48</v>
      </c>
      <c r="F16" s="19">
        <f t="shared" si="0"/>
        <v>48</v>
      </c>
      <c r="G16" s="15" t="s">
        <v>493</v>
      </c>
      <c r="H16" s="15" t="s">
        <v>465</v>
      </c>
      <c r="I16" s="19">
        <v>0</v>
      </c>
      <c r="J16" s="19">
        <v>1</v>
      </c>
      <c r="K16" s="19">
        <v>0</v>
      </c>
      <c r="L16" s="19">
        <v>0</v>
      </c>
    </row>
    <row r="17" spans="1:12" ht="52.5" customHeight="1">
      <c r="A17" s="18" t="s">
        <v>494</v>
      </c>
      <c r="B17" s="15" t="s">
        <v>405</v>
      </c>
      <c r="C17" s="15" t="s">
        <v>366</v>
      </c>
      <c r="D17" s="19">
        <v>48</v>
      </c>
      <c r="E17" s="19">
        <v>124</v>
      </c>
      <c r="F17" s="19">
        <f t="shared" si="0"/>
        <v>76</v>
      </c>
      <c r="G17" s="15" t="s">
        <v>495</v>
      </c>
      <c r="H17" s="15" t="s">
        <v>462</v>
      </c>
      <c r="I17" s="19">
        <v>1</v>
      </c>
      <c r="J17" s="19">
        <v>1</v>
      </c>
      <c r="K17" s="19">
        <v>0</v>
      </c>
      <c r="L17" s="19">
        <v>1</v>
      </c>
    </row>
    <row r="18" spans="1:12" ht="52.5" customHeight="1">
      <c r="A18" s="18" t="s">
        <v>496</v>
      </c>
      <c r="B18" s="15" t="s">
        <v>405</v>
      </c>
      <c r="C18" s="15" t="s">
        <v>366</v>
      </c>
      <c r="D18" s="19">
        <v>124</v>
      </c>
      <c r="E18" s="19">
        <v>195</v>
      </c>
      <c r="F18" s="19">
        <f t="shared" si="0"/>
        <v>71</v>
      </c>
      <c r="G18" s="15" t="s">
        <v>497</v>
      </c>
      <c r="H18" s="15" t="s">
        <v>465</v>
      </c>
      <c r="I18" s="19">
        <v>1</v>
      </c>
      <c r="J18" s="19">
        <v>1</v>
      </c>
      <c r="K18" s="19">
        <v>0</v>
      </c>
      <c r="L18" s="19">
        <v>0</v>
      </c>
    </row>
    <row r="19" spans="1:12" ht="52.5" customHeight="1">
      <c r="A19" s="18" t="s">
        <v>498</v>
      </c>
      <c r="B19" s="15" t="s">
        <v>409</v>
      </c>
      <c r="C19" s="15" t="s">
        <v>366</v>
      </c>
      <c r="D19" s="19">
        <v>0</v>
      </c>
      <c r="E19" s="19">
        <v>62</v>
      </c>
      <c r="F19" s="19">
        <f t="shared" si="0"/>
        <v>62</v>
      </c>
      <c r="G19" s="15" t="s">
        <v>499</v>
      </c>
      <c r="H19" s="15" t="s">
        <v>462</v>
      </c>
      <c r="I19" s="19">
        <v>0</v>
      </c>
      <c r="J19" s="19">
        <v>1</v>
      </c>
      <c r="K19" s="19">
        <v>0</v>
      </c>
      <c r="L19" s="19">
        <v>0</v>
      </c>
    </row>
    <row r="20" spans="1:12" ht="52.5" customHeight="1">
      <c r="A20" s="18" t="s">
        <v>500</v>
      </c>
      <c r="B20" s="15" t="s">
        <v>409</v>
      </c>
      <c r="C20" s="15" t="s">
        <v>366</v>
      </c>
      <c r="D20" s="19">
        <v>62</v>
      </c>
      <c r="E20" s="19">
        <v>142</v>
      </c>
      <c r="F20" s="19">
        <f t="shared" si="0"/>
        <v>80</v>
      </c>
      <c r="G20" s="15" t="s">
        <v>501</v>
      </c>
      <c r="H20" s="15" t="s">
        <v>465</v>
      </c>
      <c r="I20" s="19">
        <v>1</v>
      </c>
      <c r="J20" s="19">
        <v>1</v>
      </c>
      <c r="K20" s="19">
        <v>0</v>
      </c>
      <c r="L20" s="19">
        <v>0</v>
      </c>
    </row>
    <row r="21" spans="1:12" ht="52.5" customHeight="1">
      <c r="A21" s="18" t="s">
        <v>502</v>
      </c>
      <c r="B21" s="15" t="s">
        <v>409</v>
      </c>
      <c r="C21" s="15" t="s">
        <v>366</v>
      </c>
      <c r="D21" s="19">
        <v>142</v>
      </c>
      <c r="E21" s="19">
        <v>240</v>
      </c>
      <c r="F21" s="19">
        <f t="shared" si="0"/>
        <v>98</v>
      </c>
      <c r="G21" s="15" t="s">
        <v>503</v>
      </c>
      <c r="H21" s="15" t="s">
        <v>504</v>
      </c>
      <c r="I21" s="19">
        <v>1</v>
      </c>
      <c r="J21" s="19">
        <v>1</v>
      </c>
      <c r="K21" s="19">
        <v>0</v>
      </c>
      <c r="L21" s="19">
        <v>0</v>
      </c>
    </row>
    <row r="22" spans="1:12" ht="52.5" customHeight="1">
      <c r="A22" s="18" t="s">
        <v>505</v>
      </c>
      <c r="B22" s="15" t="s">
        <v>413</v>
      </c>
      <c r="C22" s="15" t="s">
        <v>369</v>
      </c>
      <c r="D22" s="19">
        <v>0</v>
      </c>
      <c r="E22" s="19">
        <v>50</v>
      </c>
      <c r="F22" s="19">
        <f t="shared" si="0"/>
        <v>50</v>
      </c>
      <c r="G22" s="15" t="s">
        <v>506</v>
      </c>
      <c r="H22" s="15" t="s">
        <v>507</v>
      </c>
      <c r="I22" s="19">
        <v>0</v>
      </c>
      <c r="J22" s="19">
        <v>1</v>
      </c>
      <c r="K22" s="19">
        <v>0</v>
      </c>
      <c r="L22" s="19">
        <v>0</v>
      </c>
    </row>
    <row r="23" spans="1:12" ht="52.5" customHeight="1">
      <c r="A23" s="18" t="s">
        <v>508</v>
      </c>
      <c r="B23" s="15" t="s">
        <v>413</v>
      </c>
      <c r="C23" s="15" t="s">
        <v>369</v>
      </c>
      <c r="D23" s="19">
        <v>50</v>
      </c>
      <c r="E23" s="19">
        <v>122</v>
      </c>
      <c r="F23" s="19">
        <f t="shared" si="0"/>
        <v>72</v>
      </c>
      <c r="G23" s="15" t="s">
        <v>509</v>
      </c>
      <c r="H23" s="15" t="s">
        <v>510</v>
      </c>
      <c r="I23" s="19">
        <v>1</v>
      </c>
      <c r="J23" s="19">
        <v>1</v>
      </c>
      <c r="K23" s="19">
        <v>1</v>
      </c>
      <c r="L23" s="19">
        <v>0</v>
      </c>
    </row>
    <row r="24" spans="1:12" ht="52.5" customHeight="1">
      <c r="A24" s="18" t="s">
        <v>511</v>
      </c>
      <c r="B24" s="15" t="s">
        <v>413</v>
      </c>
      <c r="C24" s="15" t="s">
        <v>369</v>
      </c>
      <c r="D24" s="19">
        <v>122</v>
      </c>
      <c r="E24" s="19">
        <v>180</v>
      </c>
      <c r="F24" s="19">
        <f t="shared" si="0"/>
        <v>58</v>
      </c>
      <c r="G24" s="15" t="s">
        <v>512</v>
      </c>
      <c r="H24" s="15" t="s">
        <v>510</v>
      </c>
      <c r="I24" s="19">
        <v>0</v>
      </c>
      <c r="J24" s="19">
        <v>0</v>
      </c>
      <c r="K24" s="19">
        <v>0</v>
      </c>
      <c r="L24" s="19">
        <v>0</v>
      </c>
    </row>
    <row r="25" spans="1:12" ht="52.5" customHeight="1">
      <c r="A25" s="18" t="s">
        <v>513</v>
      </c>
      <c r="B25" s="15" t="s">
        <v>417</v>
      </c>
      <c r="C25" s="15" t="s">
        <v>369</v>
      </c>
      <c r="D25" s="19">
        <v>0</v>
      </c>
      <c r="E25" s="19">
        <v>60</v>
      </c>
      <c r="F25" s="19">
        <f t="shared" si="0"/>
        <v>60</v>
      </c>
      <c r="G25" s="15" t="s">
        <v>514</v>
      </c>
      <c r="H25" s="15" t="s">
        <v>515</v>
      </c>
      <c r="I25" s="19">
        <v>0</v>
      </c>
      <c r="J25" s="19">
        <v>1</v>
      </c>
      <c r="K25" s="19">
        <v>0</v>
      </c>
      <c r="L25" s="19">
        <v>0</v>
      </c>
    </row>
    <row r="26" spans="1:12" ht="52.5" customHeight="1">
      <c r="A26" s="18" t="s">
        <v>516</v>
      </c>
      <c r="B26" s="15" t="s">
        <v>417</v>
      </c>
      <c r="C26" s="15" t="s">
        <v>369</v>
      </c>
      <c r="D26" s="19">
        <v>60</v>
      </c>
      <c r="E26" s="19">
        <v>134</v>
      </c>
      <c r="F26" s="19">
        <f t="shared" si="0"/>
        <v>74</v>
      </c>
      <c r="G26" s="15" t="s">
        <v>517</v>
      </c>
      <c r="H26" s="15" t="s">
        <v>515</v>
      </c>
      <c r="I26" s="19">
        <v>0</v>
      </c>
      <c r="J26" s="19">
        <v>1</v>
      </c>
      <c r="K26" s="19">
        <v>0</v>
      </c>
      <c r="L26" s="19">
        <v>0</v>
      </c>
    </row>
    <row r="27" spans="1:12" ht="52.5" customHeight="1">
      <c r="A27" s="18" t="s">
        <v>518</v>
      </c>
      <c r="B27" s="15" t="s">
        <v>417</v>
      </c>
      <c r="C27" s="15" t="s">
        <v>369</v>
      </c>
      <c r="D27" s="19">
        <v>134</v>
      </c>
      <c r="E27" s="19">
        <v>226</v>
      </c>
      <c r="F27" s="19">
        <f t="shared" si="0"/>
        <v>92</v>
      </c>
      <c r="G27" s="15" t="s">
        <v>519</v>
      </c>
      <c r="H27" s="15" t="s">
        <v>510</v>
      </c>
      <c r="I27" s="19">
        <v>1</v>
      </c>
      <c r="J27" s="19">
        <v>1</v>
      </c>
      <c r="K27" s="19">
        <v>0</v>
      </c>
      <c r="L27" s="19">
        <v>0</v>
      </c>
    </row>
    <row r="28" spans="1:12" ht="52.5" customHeight="1">
      <c r="A28" s="18" t="s">
        <v>520</v>
      </c>
      <c r="B28" s="15" t="s">
        <v>417</v>
      </c>
      <c r="C28" s="15" t="s">
        <v>369</v>
      </c>
      <c r="D28" s="19">
        <v>226</v>
      </c>
      <c r="E28" s="19">
        <v>300</v>
      </c>
      <c r="F28" s="19">
        <f t="shared" si="0"/>
        <v>74</v>
      </c>
      <c r="G28" s="15" t="s">
        <v>521</v>
      </c>
      <c r="H28" s="15" t="s">
        <v>515</v>
      </c>
      <c r="I28" s="19">
        <v>1</v>
      </c>
      <c r="J28" s="19">
        <v>1</v>
      </c>
      <c r="K28" s="19">
        <v>0</v>
      </c>
      <c r="L28" s="19">
        <v>0</v>
      </c>
    </row>
    <row r="29" spans="1:12" ht="52.5" customHeight="1">
      <c r="A29" s="18" t="s">
        <v>522</v>
      </c>
      <c r="B29" s="15" t="s">
        <v>422</v>
      </c>
      <c r="C29" s="15" t="s">
        <v>370</v>
      </c>
      <c r="D29" s="19">
        <v>0</v>
      </c>
      <c r="E29" s="19">
        <v>28</v>
      </c>
      <c r="F29" s="19">
        <f t="shared" si="0"/>
        <v>28</v>
      </c>
      <c r="G29" s="15" t="s">
        <v>523</v>
      </c>
      <c r="H29" s="15" t="s">
        <v>515</v>
      </c>
      <c r="I29" s="19">
        <v>0</v>
      </c>
      <c r="J29" s="19">
        <v>1</v>
      </c>
      <c r="K29" s="19">
        <v>0</v>
      </c>
      <c r="L29" s="19">
        <v>0</v>
      </c>
    </row>
    <row r="30" spans="1:12" ht="52.5" customHeight="1">
      <c r="A30" s="18" t="s">
        <v>524</v>
      </c>
      <c r="B30" s="15" t="s">
        <v>422</v>
      </c>
      <c r="C30" s="15" t="s">
        <v>370</v>
      </c>
      <c r="D30" s="19">
        <v>28</v>
      </c>
      <c r="E30" s="19">
        <v>60</v>
      </c>
      <c r="F30" s="19">
        <f t="shared" si="0"/>
        <v>32</v>
      </c>
      <c r="G30" s="15" t="s">
        <v>525</v>
      </c>
      <c r="H30" s="15" t="s">
        <v>515</v>
      </c>
      <c r="I30" s="19">
        <v>0</v>
      </c>
      <c r="J30" s="19">
        <v>0</v>
      </c>
      <c r="K30" s="19">
        <v>0</v>
      </c>
      <c r="L30" s="19">
        <v>0</v>
      </c>
    </row>
    <row r="31" spans="1:12" ht="52.5" customHeight="1">
      <c r="A31" s="18" t="s">
        <v>526</v>
      </c>
      <c r="B31" s="15" t="s">
        <v>426</v>
      </c>
      <c r="C31" s="15" t="s">
        <v>370</v>
      </c>
      <c r="D31" s="19">
        <v>0</v>
      </c>
      <c r="E31" s="19">
        <v>26</v>
      </c>
      <c r="F31" s="19">
        <f t="shared" si="0"/>
        <v>26</v>
      </c>
      <c r="G31" s="15" t="s">
        <v>527</v>
      </c>
      <c r="H31" s="15" t="s">
        <v>462</v>
      </c>
      <c r="I31" s="19">
        <v>1</v>
      </c>
      <c r="J31" s="19">
        <v>0</v>
      </c>
      <c r="K31" s="19">
        <v>1</v>
      </c>
      <c r="L31" s="19">
        <v>0</v>
      </c>
    </row>
    <row r="32" spans="1:12" ht="52.5" customHeight="1">
      <c r="A32" s="18" t="s">
        <v>528</v>
      </c>
      <c r="B32" s="15" t="s">
        <v>426</v>
      </c>
      <c r="C32" s="15" t="s">
        <v>370</v>
      </c>
      <c r="D32" s="19">
        <v>26</v>
      </c>
      <c r="E32" s="19">
        <v>88</v>
      </c>
      <c r="F32" s="19">
        <f t="shared" si="0"/>
        <v>62</v>
      </c>
      <c r="G32" s="15" t="s">
        <v>529</v>
      </c>
      <c r="H32" s="15" t="s">
        <v>462</v>
      </c>
      <c r="I32" s="19">
        <v>0</v>
      </c>
      <c r="J32" s="19">
        <v>0</v>
      </c>
      <c r="K32" s="19">
        <v>0</v>
      </c>
      <c r="L32" s="19">
        <v>0</v>
      </c>
    </row>
    <row r="33" spans="1:12" ht="52.5" customHeight="1">
      <c r="A33" s="18" t="s">
        <v>530</v>
      </c>
      <c r="B33" s="15" t="s">
        <v>426</v>
      </c>
      <c r="C33" s="15" t="s">
        <v>370</v>
      </c>
      <c r="D33" s="19">
        <v>88</v>
      </c>
      <c r="E33" s="19">
        <v>120</v>
      </c>
      <c r="F33" s="19">
        <f t="shared" si="0"/>
        <v>32</v>
      </c>
      <c r="G33" s="15" t="s">
        <v>531</v>
      </c>
      <c r="H33" s="15" t="s">
        <v>462</v>
      </c>
      <c r="I33" s="19">
        <v>0</v>
      </c>
      <c r="J33" s="19">
        <v>0</v>
      </c>
      <c r="K33" s="19">
        <v>0</v>
      </c>
      <c r="L33" s="19">
        <v>0</v>
      </c>
    </row>
    <row r="34" spans="1:12" ht="52.5" customHeight="1">
      <c r="A34" s="18" t="s">
        <v>532</v>
      </c>
      <c r="B34" s="15" t="s">
        <v>430</v>
      </c>
      <c r="C34" s="15" t="s">
        <v>372</v>
      </c>
      <c r="D34" s="19">
        <v>0</v>
      </c>
      <c r="E34" s="19">
        <v>35</v>
      </c>
      <c r="F34" s="19">
        <f t="shared" si="0"/>
        <v>35</v>
      </c>
      <c r="G34" s="15" t="s">
        <v>533</v>
      </c>
      <c r="H34" s="15" t="s">
        <v>534</v>
      </c>
      <c r="I34" s="19">
        <v>0</v>
      </c>
      <c r="J34" s="19">
        <v>1</v>
      </c>
      <c r="K34" s="19">
        <v>0</v>
      </c>
      <c r="L34" s="19">
        <v>0</v>
      </c>
    </row>
    <row r="35" spans="1:12" ht="52.5" customHeight="1">
      <c r="A35" s="18" t="s">
        <v>535</v>
      </c>
      <c r="B35" s="15" t="s">
        <v>430</v>
      </c>
      <c r="C35" s="15" t="s">
        <v>372</v>
      </c>
      <c r="D35" s="19">
        <v>35</v>
      </c>
      <c r="E35" s="19">
        <v>73</v>
      </c>
      <c r="F35" s="19">
        <f t="shared" si="0"/>
        <v>38</v>
      </c>
      <c r="G35" s="15" t="s">
        <v>536</v>
      </c>
      <c r="H35" s="15" t="s">
        <v>507</v>
      </c>
      <c r="I35" s="19">
        <v>1</v>
      </c>
      <c r="J35" s="19">
        <v>0</v>
      </c>
      <c r="K35" s="19">
        <v>1</v>
      </c>
      <c r="L35" s="19">
        <v>0</v>
      </c>
    </row>
    <row r="36" spans="1:12" ht="52.5" customHeight="1">
      <c r="A36" s="18" t="s">
        <v>537</v>
      </c>
      <c r="B36" s="15" t="s">
        <v>430</v>
      </c>
      <c r="C36" s="15" t="s">
        <v>372</v>
      </c>
      <c r="D36" s="19">
        <v>73</v>
      </c>
      <c r="E36" s="19">
        <v>100</v>
      </c>
      <c r="F36" s="19">
        <f t="shared" si="0"/>
        <v>27</v>
      </c>
      <c r="G36" s="15" t="s">
        <v>538</v>
      </c>
      <c r="H36" s="15" t="s">
        <v>507</v>
      </c>
      <c r="I36" s="19">
        <v>0</v>
      </c>
      <c r="J36" s="19">
        <v>0</v>
      </c>
      <c r="K36" s="19">
        <v>0</v>
      </c>
      <c r="L36" s="19">
        <v>0</v>
      </c>
    </row>
    <row r="37" spans="1:12" ht="52.5" customHeight="1">
      <c r="A37" s="18" t="s">
        <v>539</v>
      </c>
      <c r="B37" s="15" t="s">
        <v>434</v>
      </c>
      <c r="C37" s="15" t="s">
        <v>372</v>
      </c>
      <c r="D37" s="19">
        <v>0</v>
      </c>
      <c r="E37" s="19">
        <v>50</v>
      </c>
      <c r="F37" s="19">
        <f t="shared" si="0"/>
        <v>50</v>
      </c>
      <c r="G37" s="15" t="s">
        <v>540</v>
      </c>
      <c r="H37" s="15" t="s">
        <v>534</v>
      </c>
      <c r="I37" s="19">
        <v>0</v>
      </c>
      <c r="J37" s="19">
        <v>1</v>
      </c>
      <c r="K37" s="19">
        <v>0</v>
      </c>
      <c r="L37" s="19">
        <v>0</v>
      </c>
    </row>
    <row r="38" spans="1:12" ht="52.5" customHeight="1">
      <c r="A38" s="18" t="s">
        <v>541</v>
      </c>
      <c r="B38" s="15" t="s">
        <v>434</v>
      </c>
      <c r="C38" s="15" t="s">
        <v>372</v>
      </c>
      <c r="D38" s="19">
        <v>50</v>
      </c>
      <c r="E38" s="19">
        <v>95</v>
      </c>
      <c r="F38" s="19">
        <f t="shared" si="0"/>
        <v>45</v>
      </c>
      <c r="G38" s="15" t="s">
        <v>542</v>
      </c>
      <c r="H38" s="15" t="s">
        <v>534</v>
      </c>
      <c r="I38" s="19">
        <v>0</v>
      </c>
      <c r="J38" s="19">
        <v>0</v>
      </c>
      <c r="K38" s="19">
        <v>0</v>
      </c>
      <c r="L38" s="19">
        <v>0</v>
      </c>
    </row>
    <row r="39" spans="1:12" ht="52.5" customHeight="1">
      <c r="A39" s="18" t="s">
        <v>543</v>
      </c>
      <c r="B39" s="15" t="s">
        <v>434</v>
      </c>
      <c r="C39" s="15" t="s">
        <v>372</v>
      </c>
      <c r="D39" s="19">
        <v>95</v>
      </c>
      <c r="E39" s="19">
        <v>130</v>
      </c>
      <c r="F39" s="19">
        <f t="shared" si="0"/>
        <v>35</v>
      </c>
      <c r="G39" s="15" t="s">
        <v>544</v>
      </c>
      <c r="H39" s="15" t="s">
        <v>534</v>
      </c>
      <c r="I39" s="19">
        <v>0</v>
      </c>
      <c r="J39" s="19">
        <v>0</v>
      </c>
      <c r="K39" s="19">
        <v>0</v>
      </c>
      <c r="L39" s="19">
        <v>0</v>
      </c>
    </row>
    <row r="40" spans="1:12" ht="52.5" customHeight="1">
      <c r="A40" s="18" t="s">
        <v>545</v>
      </c>
      <c r="B40" s="15" t="s">
        <v>438</v>
      </c>
      <c r="C40" s="15" t="s">
        <v>373</v>
      </c>
      <c r="D40" s="19">
        <v>0</v>
      </c>
      <c r="E40" s="19">
        <v>22</v>
      </c>
      <c r="F40" s="19">
        <f t="shared" si="0"/>
        <v>22</v>
      </c>
      <c r="G40" s="15" t="s">
        <v>546</v>
      </c>
      <c r="H40" s="15" t="s">
        <v>547</v>
      </c>
      <c r="I40" s="19">
        <v>0</v>
      </c>
      <c r="J40" s="19">
        <v>1</v>
      </c>
      <c r="K40" s="19">
        <v>0</v>
      </c>
      <c r="L40" s="19">
        <v>0</v>
      </c>
    </row>
    <row r="41" spans="1:12" ht="52.5" customHeight="1">
      <c r="A41" s="18" t="s">
        <v>548</v>
      </c>
      <c r="B41" s="15" t="s">
        <v>438</v>
      </c>
      <c r="C41" s="15" t="s">
        <v>373</v>
      </c>
      <c r="D41" s="19">
        <v>22</v>
      </c>
      <c r="E41" s="19">
        <v>55</v>
      </c>
      <c r="F41" s="19">
        <f t="shared" si="0"/>
        <v>33</v>
      </c>
      <c r="G41" s="15" t="s">
        <v>549</v>
      </c>
      <c r="H41" s="15" t="s">
        <v>550</v>
      </c>
      <c r="I41" s="19">
        <v>1</v>
      </c>
      <c r="J41" s="19">
        <v>0</v>
      </c>
      <c r="K41" s="19">
        <v>0</v>
      </c>
      <c r="L41" s="19">
        <v>0</v>
      </c>
    </row>
    <row r="42" spans="1:12" ht="52.5" customHeight="1">
      <c r="A42" s="18" t="s">
        <v>551</v>
      </c>
      <c r="B42" s="15" t="s">
        <v>442</v>
      </c>
      <c r="C42" s="15" t="s">
        <v>373</v>
      </c>
      <c r="D42" s="19">
        <v>0</v>
      </c>
      <c r="E42" s="19">
        <v>38</v>
      </c>
      <c r="F42" s="19">
        <f t="shared" si="0"/>
        <v>38</v>
      </c>
      <c r="G42" s="15" t="s">
        <v>552</v>
      </c>
      <c r="H42" s="15" t="s">
        <v>547</v>
      </c>
      <c r="I42" s="19">
        <v>0</v>
      </c>
      <c r="J42" s="19">
        <v>1</v>
      </c>
      <c r="K42" s="19">
        <v>0</v>
      </c>
      <c r="L42" s="19">
        <v>0</v>
      </c>
    </row>
    <row r="43" spans="1:12" ht="52.5" customHeight="1">
      <c r="A43" s="18" t="s">
        <v>553</v>
      </c>
      <c r="B43" s="15" t="s">
        <v>442</v>
      </c>
      <c r="C43" s="15" t="s">
        <v>373</v>
      </c>
      <c r="D43" s="19">
        <v>38</v>
      </c>
      <c r="E43" s="19">
        <v>80</v>
      </c>
      <c r="F43" s="19">
        <f t="shared" si="0"/>
        <v>42</v>
      </c>
      <c r="G43" s="15" t="s">
        <v>554</v>
      </c>
      <c r="H43" s="15" t="s">
        <v>550</v>
      </c>
      <c r="I43" s="19">
        <v>1</v>
      </c>
      <c r="J43" s="19">
        <v>0</v>
      </c>
      <c r="K43" s="19">
        <v>0</v>
      </c>
      <c r="L43" s="19">
        <v>0</v>
      </c>
    </row>
    <row r="44" spans="1:12" ht="52.5" customHeight="1">
      <c r="A44" s="18" t="s">
        <v>555</v>
      </c>
      <c r="B44" s="15" t="s">
        <v>446</v>
      </c>
      <c r="C44" s="15" t="s">
        <v>374</v>
      </c>
      <c r="D44" s="19">
        <v>0</v>
      </c>
      <c r="E44" s="19">
        <v>30</v>
      </c>
      <c r="F44" s="19">
        <f t="shared" si="0"/>
        <v>30</v>
      </c>
      <c r="G44" s="15" t="s">
        <v>556</v>
      </c>
      <c r="H44" s="15" t="s">
        <v>462</v>
      </c>
      <c r="I44" s="19">
        <v>0</v>
      </c>
      <c r="J44" s="19">
        <v>1</v>
      </c>
      <c r="K44" s="19">
        <v>0</v>
      </c>
      <c r="L44" s="19">
        <v>0</v>
      </c>
    </row>
    <row r="45" spans="1:12" ht="52.5" customHeight="1">
      <c r="A45" s="18" t="s">
        <v>557</v>
      </c>
      <c r="B45" s="15" t="s">
        <v>446</v>
      </c>
      <c r="C45" s="15" t="s">
        <v>374</v>
      </c>
      <c r="D45" s="19">
        <v>30</v>
      </c>
      <c r="E45" s="19">
        <v>70</v>
      </c>
      <c r="F45" s="19">
        <f t="shared" si="0"/>
        <v>40</v>
      </c>
      <c r="G45" s="15" t="s">
        <v>558</v>
      </c>
      <c r="H45" s="15" t="s">
        <v>462</v>
      </c>
      <c r="I45" s="19">
        <v>0</v>
      </c>
      <c r="J45" s="19">
        <v>0</v>
      </c>
      <c r="K45" s="19">
        <v>0</v>
      </c>
      <c r="L45" s="19">
        <v>0</v>
      </c>
    </row>
    <row r="46" spans="1:12" ht="52.5" customHeight="1">
      <c r="A46" s="18" t="s">
        <v>559</v>
      </c>
      <c r="B46" s="15" t="s">
        <v>450</v>
      </c>
      <c r="C46" s="15" t="s">
        <v>374</v>
      </c>
      <c r="D46" s="19">
        <v>0</v>
      </c>
      <c r="E46" s="19">
        <v>42</v>
      </c>
      <c r="F46" s="19">
        <f t="shared" si="0"/>
        <v>42</v>
      </c>
      <c r="G46" s="15" t="s">
        <v>560</v>
      </c>
      <c r="H46" s="15" t="s">
        <v>515</v>
      </c>
      <c r="I46" s="19">
        <v>0</v>
      </c>
      <c r="J46" s="19">
        <v>1</v>
      </c>
      <c r="K46" s="19">
        <v>0</v>
      </c>
      <c r="L46" s="19">
        <v>0</v>
      </c>
    </row>
    <row r="47" spans="1:12" ht="52.5" customHeight="1">
      <c r="A47" s="18" t="s">
        <v>561</v>
      </c>
      <c r="B47" s="15" t="s">
        <v>450</v>
      </c>
      <c r="C47" s="15" t="s">
        <v>374</v>
      </c>
      <c r="D47" s="19">
        <v>42</v>
      </c>
      <c r="E47" s="19">
        <v>80</v>
      </c>
      <c r="F47" s="19">
        <f t="shared" si="0"/>
        <v>38</v>
      </c>
      <c r="G47" s="15" t="s">
        <v>562</v>
      </c>
      <c r="H47" s="15" t="s">
        <v>462</v>
      </c>
      <c r="I47" s="19">
        <v>1</v>
      </c>
      <c r="J47" s="19">
        <v>0</v>
      </c>
      <c r="K47" s="19">
        <v>0</v>
      </c>
      <c r="L47" s="19">
        <v>0</v>
      </c>
    </row>
    <row r="48" spans="1:12" ht="52.5" customHeight="1">
      <c r="A48" s="18" t="s">
        <v>563</v>
      </c>
      <c r="B48" s="15" t="s">
        <v>450</v>
      </c>
      <c r="C48" s="15" t="s">
        <v>374</v>
      </c>
      <c r="D48" s="19">
        <v>80</v>
      </c>
      <c r="E48" s="19">
        <v>110</v>
      </c>
      <c r="F48" s="19">
        <f t="shared" si="0"/>
        <v>30</v>
      </c>
      <c r="G48" s="15" t="s">
        <v>564</v>
      </c>
      <c r="H48" s="15" t="s">
        <v>462</v>
      </c>
      <c r="I48" s="19">
        <v>0</v>
      </c>
      <c r="J48" s="19">
        <v>0</v>
      </c>
      <c r="K48" s="19">
        <v>0</v>
      </c>
      <c r="L48" s="19">
        <v>0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0"/>
  </sheetPr>
  <dimension ref="A1:J76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E3" sqref="E3"/>
    </sheetView>
  </sheetViews>
  <sheetFormatPr defaultRowHeight="13.5"/>
  <cols>
    <col min="1" max="1" width="8.875" style="9" customWidth="1"/>
    <col min="2" max="2" width="7.25" style="9" customWidth="1"/>
    <col min="3" max="3" width="20" style="9" customWidth="1"/>
    <col min="4" max="4" width="8.3125" style="9" customWidth="1"/>
    <col min="5" max="5" width="13.3125" style="9" customWidth="1"/>
    <col min="6" max="6" width="17.25" style="9" customWidth="1"/>
    <col min="7" max="7" width="48.875" style="9" customWidth="1"/>
    <col min="8" max="8" width="12.75" style="9" customWidth="1"/>
    <col min="9" max="9" width="11.125" style="9" customWidth="1"/>
    <col min="10" max="10" width="51.125" style="9" customWidth="1"/>
    <col min="11" max="16384" width="9" style="9"/>
  </cols>
  <sheetData>
    <row r="1" spans="1:10" ht="28.5" customHeight="1">
      <c r="A1" s="8" t="s">
        <v>6</v>
      </c>
      <c r="B1" s="8" t="s">
        <v>345</v>
      </c>
      <c r="C1" s="8" t="s">
        <v>565</v>
      </c>
      <c r="D1" s="8" t="s">
        <v>566</v>
      </c>
      <c r="E1" s="8" t="s">
        <v>567</v>
      </c>
      <c r="F1" s="8" t="s">
        <v>568</v>
      </c>
      <c r="G1" s="8" t="s">
        <v>569</v>
      </c>
      <c r="H1" s="8" t="s">
        <v>5</v>
      </c>
      <c r="I1" s="8" t="s">
        <v>570</v>
      </c>
      <c r="J1" s="8" t="s">
        <v>571</v>
      </c>
    </row>
    <row r="2" spans="1:10" ht="75" customHeight="1">
      <c r="A2" s="22" t="s">
        <v>572</v>
      </c>
      <c r="B2" s="10" t="s">
        <v>357</v>
      </c>
      <c r="C2" s="10" t="s">
        <v>573</v>
      </c>
      <c r="D2" s="23">
        <v>6</v>
      </c>
      <c r="E2" s="10" t="s">
        <v>574</v>
      </c>
      <c r="F2" s="10" t="s">
        <v>575</v>
      </c>
      <c r="G2" s="10" t="s">
        <v>576</v>
      </c>
      <c r="H2" s="10" t="s">
        <v>17</v>
      </c>
      <c r="I2" s="10" t="s">
        <v>577</v>
      </c>
      <c r="J2" s="10" t="s">
        <v>578</v>
      </c>
    </row>
    <row r="3" spans="1:10" ht="75" customHeight="1">
      <c r="A3" s="22" t="s">
        <v>579</v>
      </c>
      <c r="B3" s="10" t="s">
        <v>357</v>
      </c>
      <c r="C3" s="10" t="s">
        <v>580</v>
      </c>
      <c r="D3" s="23">
        <v>6</v>
      </c>
      <c r="E3" s="10" t="s">
        <v>581</v>
      </c>
      <c r="F3" s="10" t="s">
        <v>575</v>
      </c>
      <c r="G3" s="10" t="s">
        <v>582</v>
      </c>
      <c r="H3" s="10" t="s">
        <v>17</v>
      </c>
      <c r="I3" s="10" t="s">
        <v>577</v>
      </c>
      <c r="J3" s="10" t="s">
        <v>583</v>
      </c>
    </row>
    <row r="4" spans="1:10" ht="75" customHeight="1">
      <c r="A4" s="22" t="s">
        <v>584</v>
      </c>
      <c r="B4" s="10" t="s">
        <v>363</v>
      </c>
      <c r="C4" s="10" t="s">
        <v>585</v>
      </c>
      <c r="D4" s="23">
        <v>7</v>
      </c>
      <c r="E4" s="10" t="s">
        <v>574</v>
      </c>
      <c r="F4" s="10" t="s">
        <v>575</v>
      </c>
      <c r="G4" s="10" t="s">
        <v>586</v>
      </c>
      <c r="H4" s="10" t="s">
        <v>38</v>
      </c>
      <c r="I4" s="10" t="s">
        <v>577</v>
      </c>
      <c r="J4" s="10" t="s">
        <v>578</v>
      </c>
    </row>
    <row r="5" spans="1:10" ht="75" customHeight="1">
      <c r="A5" s="22" t="s">
        <v>587</v>
      </c>
      <c r="B5" s="10" t="s">
        <v>363</v>
      </c>
      <c r="C5" s="10" t="s">
        <v>588</v>
      </c>
      <c r="D5" s="23">
        <v>7</v>
      </c>
      <c r="E5" s="10" t="s">
        <v>581</v>
      </c>
      <c r="F5" s="10" t="s">
        <v>575</v>
      </c>
      <c r="G5" s="10" t="s">
        <v>589</v>
      </c>
      <c r="H5" s="10" t="s">
        <v>38</v>
      </c>
      <c r="I5" s="10" t="s">
        <v>577</v>
      </c>
      <c r="J5" s="10" t="s">
        <v>583</v>
      </c>
    </row>
    <row r="6" spans="1:10" ht="75" customHeight="1">
      <c r="A6" s="22" t="s">
        <v>590</v>
      </c>
      <c r="B6" s="10" t="s">
        <v>366</v>
      </c>
      <c r="C6" s="10" t="s">
        <v>591</v>
      </c>
      <c r="D6" s="23">
        <v>8</v>
      </c>
      <c r="E6" s="10" t="s">
        <v>574</v>
      </c>
      <c r="F6" s="10" t="s">
        <v>575</v>
      </c>
      <c r="G6" s="10" t="s">
        <v>592</v>
      </c>
      <c r="H6" s="10" t="s">
        <v>593</v>
      </c>
      <c r="I6" s="10" t="s">
        <v>577</v>
      </c>
      <c r="J6" s="10" t="s">
        <v>578</v>
      </c>
    </row>
    <row r="7" spans="1:10" ht="75" customHeight="1">
      <c r="A7" s="22" t="s">
        <v>594</v>
      </c>
      <c r="B7" s="10" t="s">
        <v>366</v>
      </c>
      <c r="C7" s="10" t="s">
        <v>595</v>
      </c>
      <c r="D7" s="23">
        <v>8</v>
      </c>
      <c r="E7" s="10" t="s">
        <v>581</v>
      </c>
      <c r="F7" s="10" t="s">
        <v>575</v>
      </c>
      <c r="G7" s="10" t="s">
        <v>596</v>
      </c>
      <c r="H7" s="10" t="s">
        <v>593</v>
      </c>
      <c r="I7" s="10" t="s">
        <v>577</v>
      </c>
      <c r="J7" s="10" t="s">
        <v>583</v>
      </c>
    </row>
    <row r="8" spans="1:10" ht="75" customHeight="1">
      <c r="A8" s="22" t="s">
        <v>597</v>
      </c>
      <c r="B8" s="10" t="s">
        <v>369</v>
      </c>
      <c r="C8" s="10" t="s">
        <v>598</v>
      </c>
      <c r="D8" s="23">
        <v>9</v>
      </c>
      <c r="E8" s="10" t="s">
        <v>574</v>
      </c>
      <c r="F8" s="10" t="s">
        <v>575</v>
      </c>
      <c r="G8" s="10" t="s">
        <v>599</v>
      </c>
      <c r="H8" s="10" t="s">
        <v>315</v>
      </c>
      <c r="I8" s="10" t="s">
        <v>577</v>
      </c>
      <c r="J8" s="10" t="s">
        <v>578</v>
      </c>
    </row>
    <row r="9" spans="1:10" ht="75" customHeight="1">
      <c r="A9" s="22" t="s">
        <v>600</v>
      </c>
      <c r="B9" s="10" t="s">
        <v>369</v>
      </c>
      <c r="C9" s="10" t="s">
        <v>601</v>
      </c>
      <c r="D9" s="23">
        <v>9</v>
      </c>
      <c r="E9" s="10" t="s">
        <v>581</v>
      </c>
      <c r="F9" s="10" t="s">
        <v>575</v>
      </c>
      <c r="G9" s="10" t="s">
        <v>602</v>
      </c>
      <c r="H9" s="10" t="s">
        <v>315</v>
      </c>
      <c r="I9" s="10" t="s">
        <v>577</v>
      </c>
      <c r="J9" s="10" t="s">
        <v>583</v>
      </c>
    </row>
    <row r="10" spans="1:10" ht="75" customHeight="1">
      <c r="A10" s="22" t="s">
        <v>603</v>
      </c>
      <c r="B10" s="10" t="s">
        <v>370</v>
      </c>
      <c r="C10" s="10" t="s">
        <v>604</v>
      </c>
      <c r="D10" s="23">
        <v>10</v>
      </c>
      <c r="E10" s="10" t="s">
        <v>574</v>
      </c>
      <c r="F10" s="10" t="s">
        <v>575</v>
      </c>
      <c r="G10" s="10" t="s">
        <v>605</v>
      </c>
      <c r="H10" s="10" t="s">
        <v>606</v>
      </c>
      <c r="I10" s="10" t="s">
        <v>577</v>
      </c>
      <c r="J10" s="10" t="s">
        <v>578</v>
      </c>
    </row>
    <row r="11" spans="1:10" ht="75" customHeight="1">
      <c r="A11" s="22" t="s">
        <v>607</v>
      </c>
      <c r="B11" s="10" t="s">
        <v>370</v>
      </c>
      <c r="C11" s="10" t="s">
        <v>608</v>
      </c>
      <c r="D11" s="23">
        <v>10</v>
      </c>
      <c r="E11" s="10" t="s">
        <v>581</v>
      </c>
      <c r="F11" s="10" t="s">
        <v>575</v>
      </c>
      <c r="G11" s="10" t="s">
        <v>609</v>
      </c>
      <c r="H11" s="10" t="s">
        <v>606</v>
      </c>
      <c r="I11" s="10" t="s">
        <v>577</v>
      </c>
      <c r="J11" s="10" t="s">
        <v>583</v>
      </c>
    </row>
    <row r="12" spans="1:10" ht="75" customHeight="1">
      <c r="A12" s="22" t="s">
        <v>610</v>
      </c>
      <c r="B12" s="10" t="s">
        <v>372</v>
      </c>
      <c r="C12" s="10" t="s">
        <v>611</v>
      </c>
      <c r="D12" s="23">
        <v>11</v>
      </c>
      <c r="E12" s="10" t="s">
        <v>574</v>
      </c>
      <c r="F12" s="10" t="s">
        <v>575</v>
      </c>
      <c r="G12" s="10" t="s">
        <v>612</v>
      </c>
      <c r="H12" s="10" t="s">
        <v>613</v>
      </c>
      <c r="I12" s="10" t="s">
        <v>577</v>
      </c>
      <c r="J12" s="10" t="s">
        <v>578</v>
      </c>
    </row>
    <row r="13" spans="1:10" ht="75" customHeight="1">
      <c r="A13" s="22" t="s">
        <v>614</v>
      </c>
      <c r="B13" s="10" t="s">
        <v>372</v>
      </c>
      <c r="C13" s="10" t="s">
        <v>615</v>
      </c>
      <c r="D13" s="23">
        <v>11</v>
      </c>
      <c r="E13" s="10" t="s">
        <v>581</v>
      </c>
      <c r="F13" s="10" t="s">
        <v>575</v>
      </c>
      <c r="G13" s="10" t="s">
        <v>616</v>
      </c>
      <c r="H13" s="10" t="s">
        <v>613</v>
      </c>
      <c r="I13" s="10" t="s">
        <v>577</v>
      </c>
      <c r="J13" s="10" t="s">
        <v>583</v>
      </c>
    </row>
    <row r="14" spans="1:10" ht="75" customHeight="1">
      <c r="A14" s="22" t="s">
        <v>617</v>
      </c>
      <c r="B14" s="10" t="s">
        <v>373</v>
      </c>
      <c r="C14" s="10" t="s">
        <v>618</v>
      </c>
      <c r="D14" s="23">
        <v>12</v>
      </c>
      <c r="E14" s="10" t="s">
        <v>574</v>
      </c>
      <c r="F14" s="10" t="s">
        <v>575</v>
      </c>
      <c r="G14" s="10" t="s">
        <v>619</v>
      </c>
      <c r="H14" s="10" t="s">
        <v>620</v>
      </c>
      <c r="I14" s="10" t="s">
        <v>577</v>
      </c>
      <c r="J14" s="10" t="s">
        <v>578</v>
      </c>
    </row>
    <row r="15" spans="1:10" ht="75" customHeight="1">
      <c r="A15" s="22" t="s">
        <v>621</v>
      </c>
      <c r="B15" s="10" t="s">
        <v>373</v>
      </c>
      <c r="C15" s="10" t="s">
        <v>622</v>
      </c>
      <c r="D15" s="23">
        <v>12</v>
      </c>
      <c r="E15" s="10" t="s">
        <v>581</v>
      </c>
      <c r="F15" s="10" t="s">
        <v>575</v>
      </c>
      <c r="G15" s="10" t="s">
        <v>623</v>
      </c>
      <c r="H15" s="10" t="s">
        <v>620</v>
      </c>
      <c r="I15" s="10" t="s">
        <v>577</v>
      </c>
      <c r="J15" s="10" t="s">
        <v>583</v>
      </c>
    </row>
    <row r="16" spans="1:10" ht="75" customHeight="1">
      <c r="A16" s="22" t="s">
        <v>624</v>
      </c>
      <c r="B16" s="10" t="s">
        <v>374</v>
      </c>
      <c r="C16" s="10" t="s">
        <v>625</v>
      </c>
      <c r="D16" s="23">
        <v>13</v>
      </c>
      <c r="E16" s="10" t="s">
        <v>574</v>
      </c>
      <c r="F16" s="10" t="s">
        <v>575</v>
      </c>
      <c r="G16" s="10" t="s">
        <v>626</v>
      </c>
      <c r="H16" s="10" t="s">
        <v>627</v>
      </c>
      <c r="I16" s="10" t="s">
        <v>577</v>
      </c>
      <c r="J16" s="10" t="s">
        <v>578</v>
      </c>
    </row>
    <row r="17" spans="1:10" ht="75" customHeight="1">
      <c r="A17" s="22" t="s">
        <v>628</v>
      </c>
      <c r="B17" s="10" t="s">
        <v>374</v>
      </c>
      <c r="C17" s="10" t="s">
        <v>629</v>
      </c>
      <c r="D17" s="23">
        <v>13</v>
      </c>
      <c r="E17" s="10" t="s">
        <v>581</v>
      </c>
      <c r="F17" s="10" t="s">
        <v>575</v>
      </c>
      <c r="G17" s="10" t="s">
        <v>630</v>
      </c>
      <c r="H17" s="10" t="s">
        <v>627</v>
      </c>
      <c r="I17" s="10" t="s">
        <v>577</v>
      </c>
      <c r="J17" s="10" t="s">
        <v>583</v>
      </c>
    </row>
    <row r="18" spans="1:10" ht="75" customHeight="1">
      <c r="A18" s="22" t="s">
        <v>631</v>
      </c>
      <c r="B18" s="10" t="s">
        <v>357</v>
      </c>
      <c r="C18" s="10" t="s">
        <v>632</v>
      </c>
      <c r="D18" s="23">
        <v>6</v>
      </c>
      <c r="E18" s="10" t="s">
        <v>633</v>
      </c>
      <c r="F18" s="10" t="s">
        <v>634</v>
      </c>
      <c r="G18" s="10" t="s">
        <v>635</v>
      </c>
      <c r="H18" s="10" t="s">
        <v>295</v>
      </c>
      <c r="I18" s="10" t="s">
        <v>577</v>
      </c>
      <c r="J18" s="10" t="s">
        <v>636</v>
      </c>
    </row>
    <row r="19" spans="1:10" ht="75" customHeight="1">
      <c r="A19" s="22" t="s">
        <v>637</v>
      </c>
      <c r="B19" s="10" t="s">
        <v>363</v>
      </c>
      <c r="C19" s="10" t="s">
        <v>638</v>
      </c>
      <c r="D19" s="23">
        <v>7</v>
      </c>
      <c r="E19" s="10" t="s">
        <v>633</v>
      </c>
      <c r="F19" s="10" t="s">
        <v>634</v>
      </c>
      <c r="G19" s="10" t="s">
        <v>639</v>
      </c>
      <c r="H19" s="10" t="s">
        <v>295</v>
      </c>
      <c r="I19" s="10" t="s">
        <v>577</v>
      </c>
      <c r="J19" s="10" t="s">
        <v>636</v>
      </c>
    </row>
    <row r="20" spans="1:10" ht="75" customHeight="1">
      <c r="A20" s="22" t="s">
        <v>640</v>
      </c>
      <c r="B20" s="10" t="s">
        <v>369</v>
      </c>
      <c r="C20" s="10" t="s">
        <v>641</v>
      </c>
      <c r="D20" s="23">
        <v>9</v>
      </c>
      <c r="E20" s="10" t="s">
        <v>633</v>
      </c>
      <c r="F20" s="10" t="s">
        <v>634</v>
      </c>
      <c r="G20" s="10" t="s">
        <v>642</v>
      </c>
      <c r="H20" s="10" t="s">
        <v>295</v>
      </c>
      <c r="I20" s="10" t="s">
        <v>577</v>
      </c>
      <c r="J20" s="10" t="s">
        <v>636</v>
      </c>
    </row>
    <row r="21" spans="1:10" ht="75" customHeight="1">
      <c r="A21" s="22" t="s">
        <v>643</v>
      </c>
      <c r="B21" s="10" t="s">
        <v>372</v>
      </c>
      <c r="C21" s="10" t="s">
        <v>644</v>
      </c>
      <c r="D21" s="23">
        <v>11</v>
      </c>
      <c r="E21" s="10" t="s">
        <v>633</v>
      </c>
      <c r="F21" s="10" t="s">
        <v>634</v>
      </c>
      <c r="G21" s="10" t="s">
        <v>645</v>
      </c>
      <c r="H21" s="10" t="s">
        <v>295</v>
      </c>
      <c r="I21" s="10" t="s">
        <v>646</v>
      </c>
      <c r="J21" s="10" t="s">
        <v>636</v>
      </c>
    </row>
    <row r="22" spans="1:10" ht="75" customHeight="1">
      <c r="A22" s="22" t="s">
        <v>647</v>
      </c>
      <c r="B22" s="10" t="s">
        <v>373</v>
      </c>
      <c r="C22" s="10" t="s">
        <v>648</v>
      </c>
      <c r="D22" s="23">
        <v>12</v>
      </c>
      <c r="E22" s="10" t="s">
        <v>633</v>
      </c>
      <c r="F22" s="10" t="s">
        <v>634</v>
      </c>
      <c r="G22" s="10" t="s">
        <v>649</v>
      </c>
      <c r="H22" s="10" t="s">
        <v>295</v>
      </c>
      <c r="I22" s="10" t="s">
        <v>650</v>
      </c>
      <c r="J22" s="10" t="s">
        <v>636</v>
      </c>
    </row>
    <row r="23" spans="1:10" ht="75" customHeight="1">
      <c r="A23" s="22" t="s">
        <v>651</v>
      </c>
      <c r="B23" s="10" t="s">
        <v>370</v>
      </c>
      <c r="C23" s="10" t="s">
        <v>652</v>
      </c>
      <c r="D23" s="23">
        <v>10</v>
      </c>
      <c r="E23" s="10" t="s">
        <v>653</v>
      </c>
      <c r="F23" s="10" t="s">
        <v>654</v>
      </c>
      <c r="G23" s="10" t="s">
        <v>655</v>
      </c>
      <c r="H23" s="10" t="s">
        <v>107</v>
      </c>
      <c r="I23" s="10" t="s">
        <v>656</v>
      </c>
      <c r="J23" s="10" t="s">
        <v>657</v>
      </c>
    </row>
    <row r="24" spans="1:10" ht="75" customHeight="1">
      <c r="A24" s="22" t="s">
        <v>658</v>
      </c>
      <c r="B24" s="10" t="s">
        <v>369</v>
      </c>
      <c r="C24" s="10" t="s">
        <v>659</v>
      </c>
      <c r="D24" s="23">
        <v>9</v>
      </c>
      <c r="E24" s="10" t="s">
        <v>660</v>
      </c>
      <c r="F24" s="10" t="s">
        <v>661</v>
      </c>
      <c r="G24" s="10" t="s">
        <v>662</v>
      </c>
      <c r="H24" s="10" t="s">
        <v>663</v>
      </c>
      <c r="I24" s="10" t="s">
        <v>577</v>
      </c>
      <c r="J24" s="10" t="s">
        <v>664</v>
      </c>
    </row>
    <row r="25" spans="1:10" ht="75" customHeight="1">
      <c r="A25" s="22" t="s">
        <v>665</v>
      </c>
      <c r="B25" s="10" t="s">
        <v>372</v>
      </c>
      <c r="C25" s="10" t="s">
        <v>666</v>
      </c>
      <c r="D25" s="23">
        <v>11</v>
      </c>
      <c r="E25" s="10" t="s">
        <v>660</v>
      </c>
      <c r="F25" s="10" t="s">
        <v>661</v>
      </c>
      <c r="G25" s="10" t="s">
        <v>667</v>
      </c>
      <c r="H25" s="10" t="s">
        <v>613</v>
      </c>
      <c r="I25" s="10" t="s">
        <v>577</v>
      </c>
      <c r="J25" s="10" t="s">
        <v>668</v>
      </c>
    </row>
    <row r="26" spans="1:10" ht="75" customHeight="1">
      <c r="A26" s="22" t="s">
        <v>669</v>
      </c>
      <c r="B26" s="10" t="s">
        <v>373</v>
      </c>
      <c r="C26" s="10" t="s">
        <v>670</v>
      </c>
      <c r="D26" s="23">
        <v>12</v>
      </c>
      <c r="E26" s="10" t="s">
        <v>653</v>
      </c>
      <c r="F26" s="10" t="s">
        <v>671</v>
      </c>
      <c r="G26" s="10" t="s">
        <v>672</v>
      </c>
      <c r="H26" s="10" t="s">
        <v>67</v>
      </c>
      <c r="I26" s="10" t="s">
        <v>577</v>
      </c>
      <c r="J26" s="10" t="s">
        <v>673</v>
      </c>
    </row>
    <row r="27" spans="1:10" ht="75" customHeight="1">
      <c r="A27" s="22" t="s">
        <v>674</v>
      </c>
      <c r="B27" s="10" t="s">
        <v>357</v>
      </c>
      <c r="C27" s="10" t="s">
        <v>675</v>
      </c>
      <c r="D27" s="23">
        <v>14</v>
      </c>
      <c r="E27" s="10" t="s">
        <v>660</v>
      </c>
      <c r="F27" s="10" t="s">
        <v>676</v>
      </c>
      <c r="G27" s="10" t="s">
        <v>677</v>
      </c>
      <c r="H27" s="10" t="s">
        <v>678</v>
      </c>
      <c r="I27" s="10" t="s">
        <v>577</v>
      </c>
      <c r="J27" s="10" t="s">
        <v>679</v>
      </c>
    </row>
    <row r="28" spans="1:10" ht="75" customHeight="1">
      <c r="A28" s="22" t="s">
        <v>680</v>
      </c>
      <c r="B28" s="10" t="s">
        <v>357</v>
      </c>
      <c r="C28" s="10" t="s">
        <v>681</v>
      </c>
      <c r="D28" s="23">
        <v>15</v>
      </c>
      <c r="E28" s="10" t="s">
        <v>682</v>
      </c>
      <c r="F28" s="10" t="s">
        <v>683</v>
      </c>
      <c r="G28" s="10" t="s">
        <v>684</v>
      </c>
      <c r="H28" s="10" t="s">
        <v>48</v>
      </c>
      <c r="I28" s="10" t="s">
        <v>577</v>
      </c>
      <c r="J28" s="10" t="s">
        <v>685</v>
      </c>
    </row>
    <row r="29" spans="1:10" ht="75" customHeight="1">
      <c r="A29" s="22" t="s">
        <v>686</v>
      </c>
      <c r="B29" s="10" t="s">
        <v>357</v>
      </c>
      <c r="C29" s="10" t="s">
        <v>687</v>
      </c>
      <c r="D29" s="23">
        <v>15</v>
      </c>
      <c r="E29" s="10" t="s">
        <v>688</v>
      </c>
      <c r="F29" s="10" t="s">
        <v>683</v>
      </c>
      <c r="G29" s="10" t="s">
        <v>689</v>
      </c>
      <c r="H29" s="10" t="s">
        <v>690</v>
      </c>
      <c r="I29" s="10" t="s">
        <v>577</v>
      </c>
      <c r="J29" s="10" t="s">
        <v>691</v>
      </c>
    </row>
    <row r="30" spans="1:10" ht="75" customHeight="1">
      <c r="A30" s="22" t="s">
        <v>147</v>
      </c>
      <c r="B30" s="10" t="s">
        <v>357</v>
      </c>
      <c r="C30" s="10" t="s">
        <v>692</v>
      </c>
      <c r="D30" s="23">
        <v>15</v>
      </c>
      <c r="E30" s="10" t="s">
        <v>693</v>
      </c>
      <c r="F30" s="10" t="s">
        <v>683</v>
      </c>
      <c r="G30" s="10" t="s">
        <v>694</v>
      </c>
      <c r="H30" s="10" t="s">
        <v>695</v>
      </c>
      <c r="I30" s="10" t="s">
        <v>577</v>
      </c>
      <c r="J30" s="10" t="s">
        <v>696</v>
      </c>
    </row>
    <row r="31" spans="1:10" ht="75" customHeight="1">
      <c r="A31" s="22" t="s">
        <v>697</v>
      </c>
      <c r="B31" s="10" t="s">
        <v>363</v>
      </c>
      <c r="C31" s="10" t="s">
        <v>698</v>
      </c>
      <c r="D31" s="23">
        <v>16</v>
      </c>
      <c r="E31" s="10" t="s">
        <v>660</v>
      </c>
      <c r="F31" s="10" t="s">
        <v>676</v>
      </c>
      <c r="G31" s="10" t="s">
        <v>699</v>
      </c>
      <c r="H31" s="10" t="s">
        <v>38</v>
      </c>
      <c r="I31" s="10" t="s">
        <v>577</v>
      </c>
      <c r="J31" s="10" t="s">
        <v>700</v>
      </c>
    </row>
    <row r="32" spans="1:10" ht="75" customHeight="1">
      <c r="A32" s="22" t="s">
        <v>701</v>
      </c>
      <c r="B32" s="10" t="s">
        <v>363</v>
      </c>
      <c r="C32" s="10" t="s">
        <v>702</v>
      </c>
      <c r="D32" s="23">
        <v>17</v>
      </c>
      <c r="E32" s="10" t="s">
        <v>682</v>
      </c>
      <c r="F32" s="10" t="s">
        <v>683</v>
      </c>
      <c r="G32" s="10" t="s">
        <v>703</v>
      </c>
      <c r="H32" s="10" t="s">
        <v>704</v>
      </c>
      <c r="I32" s="10" t="s">
        <v>577</v>
      </c>
      <c r="J32" s="10" t="s">
        <v>705</v>
      </c>
    </row>
    <row r="33" spans="1:10" ht="75" customHeight="1">
      <c r="A33" s="22" t="s">
        <v>706</v>
      </c>
      <c r="B33" s="10" t="s">
        <v>363</v>
      </c>
      <c r="C33" s="10" t="s">
        <v>707</v>
      </c>
      <c r="D33" s="23">
        <v>17</v>
      </c>
      <c r="E33" s="10" t="s">
        <v>708</v>
      </c>
      <c r="F33" s="10" t="s">
        <v>709</v>
      </c>
      <c r="G33" s="10" t="s">
        <v>710</v>
      </c>
      <c r="H33" s="10" t="s">
        <v>38</v>
      </c>
      <c r="I33" s="10" t="s">
        <v>577</v>
      </c>
      <c r="J33" s="10" t="s">
        <v>711</v>
      </c>
    </row>
    <row r="34" spans="1:10" ht="75" customHeight="1">
      <c r="A34" s="22" t="s">
        <v>712</v>
      </c>
      <c r="B34" s="10" t="s">
        <v>363</v>
      </c>
      <c r="C34" s="10" t="s">
        <v>713</v>
      </c>
      <c r="D34" s="23">
        <v>17</v>
      </c>
      <c r="E34" s="10" t="s">
        <v>714</v>
      </c>
      <c r="F34" s="10" t="s">
        <v>683</v>
      </c>
      <c r="G34" s="10" t="s">
        <v>715</v>
      </c>
      <c r="H34" s="10" t="s">
        <v>117</v>
      </c>
      <c r="I34" s="10" t="s">
        <v>577</v>
      </c>
      <c r="J34" s="10" t="s">
        <v>716</v>
      </c>
    </row>
    <row r="35" spans="1:10" ht="75" customHeight="1">
      <c r="A35" s="22" t="s">
        <v>717</v>
      </c>
      <c r="B35" s="10" t="s">
        <v>366</v>
      </c>
      <c r="C35" s="10" t="s">
        <v>718</v>
      </c>
      <c r="D35" s="23">
        <v>18</v>
      </c>
      <c r="E35" s="10" t="s">
        <v>660</v>
      </c>
      <c r="F35" s="10" t="s">
        <v>676</v>
      </c>
      <c r="G35" s="10" t="s">
        <v>719</v>
      </c>
      <c r="H35" s="10" t="s">
        <v>678</v>
      </c>
      <c r="I35" s="10" t="s">
        <v>577</v>
      </c>
      <c r="J35" s="10" t="s">
        <v>720</v>
      </c>
    </row>
    <row r="36" spans="1:10" ht="75" customHeight="1">
      <c r="A36" s="22" t="s">
        <v>721</v>
      </c>
      <c r="B36" s="10" t="s">
        <v>366</v>
      </c>
      <c r="C36" s="10" t="s">
        <v>722</v>
      </c>
      <c r="D36" s="23">
        <v>19</v>
      </c>
      <c r="E36" s="10" t="s">
        <v>723</v>
      </c>
      <c r="F36" s="10" t="s">
        <v>683</v>
      </c>
      <c r="G36" s="10" t="s">
        <v>724</v>
      </c>
      <c r="H36" s="10" t="s">
        <v>725</v>
      </c>
      <c r="I36" s="10" t="s">
        <v>577</v>
      </c>
      <c r="J36" s="10" t="s">
        <v>726</v>
      </c>
    </row>
    <row r="37" spans="1:10" ht="75" customHeight="1">
      <c r="A37" s="22" t="s">
        <v>727</v>
      </c>
      <c r="B37" s="10" t="s">
        <v>366</v>
      </c>
      <c r="C37" s="10" t="s">
        <v>728</v>
      </c>
      <c r="D37" s="23">
        <v>19</v>
      </c>
      <c r="E37" s="10" t="s">
        <v>729</v>
      </c>
      <c r="F37" s="10" t="s">
        <v>683</v>
      </c>
      <c r="G37" s="10" t="s">
        <v>730</v>
      </c>
      <c r="H37" s="10" t="s">
        <v>29</v>
      </c>
      <c r="I37" s="10" t="s">
        <v>646</v>
      </c>
      <c r="J37" s="10" t="s">
        <v>731</v>
      </c>
    </row>
    <row r="38" spans="1:10" ht="75" customHeight="1">
      <c r="A38" s="22" t="s">
        <v>732</v>
      </c>
      <c r="B38" s="10" t="s">
        <v>369</v>
      </c>
      <c r="C38" s="10" t="s">
        <v>733</v>
      </c>
      <c r="D38" s="23">
        <v>20</v>
      </c>
      <c r="E38" s="10" t="s">
        <v>660</v>
      </c>
      <c r="F38" s="10" t="s">
        <v>676</v>
      </c>
      <c r="G38" s="10" t="s">
        <v>734</v>
      </c>
      <c r="H38" s="10" t="s">
        <v>678</v>
      </c>
      <c r="I38" s="10" t="s">
        <v>577</v>
      </c>
      <c r="J38" s="10" t="s">
        <v>735</v>
      </c>
    </row>
    <row r="39" spans="1:10" ht="75" customHeight="1">
      <c r="A39" s="22" t="s">
        <v>736</v>
      </c>
      <c r="B39" s="10" t="s">
        <v>369</v>
      </c>
      <c r="C39" s="10" t="s">
        <v>737</v>
      </c>
      <c r="D39" s="23">
        <v>21</v>
      </c>
      <c r="E39" s="10" t="s">
        <v>682</v>
      </c>
      <c r="F39" s="10" t="s">
        <v>683</v>
      </c>
      <c r="G39" s="10" t="s">
        <v>738</v>
      </c>
      <c r="H39" s="10" t="s">
        <v>739</v>
      </c>
      <c r="I39" s="10" t="s">
        <v>577</v>
      </c>
      <c r="J39" s="10" t="s">
        <v>740</v>
      </c>
    </row>
    <row r="40" spans="1:10" ht="75" customHeight="1">
      <c r="A40" s="22" t="s">
        <v>741</v>
      </c>
      <c r="B40" s="10" t="s">
        <v>369</v>
      </c>
      <c r="C40" s="10" t="s">
        <v>742</v>
      </c>
      <c r="D40" s="23">
        <v>21</v>
      </c>
      <c r="E40" s="10" t="s">
        <v>743</v>
      </c>
      <c r="F40" s="10" t="s">
        <v>683</v>
      </c>
      <c r="G40" s="10" t="s">
        <v>744</v>
      </c>
      <c r="H40" s="10" t="s">
        <v>97</v>
      </c>
      <c r="I40" s="10" t="s">
        <v>577</v>
      </c>
      <c r="J40" s="10" t="s">
        <v>745</v>
      </c>
    </row>
    <row r="41" spans="1:10" ht="75" customHeight="1">
      <c r="A41" s="22" t="s">
        <v>746</v>
      </c>
      <c r="B41" s="10" t="s">
        <v>370</v>
      </c>
      <c r="C41" s="10" t="s">
        <v>747</v>
      </c>
      <c r="D41" s="23">
        <v>22</v>
      </c>
      <c r="E41" s="10" t="s">
        <v>748</v>
      </c>
      <c r="F41" s="10" t="s">
        <v>676</v>
      </c>
      <c r="G41" s="10" t="s">
        <v>749</v>
      </c>
      <c r="H41" s="10" t="s">
        <v>38</v>
      </c>
      <c r="I41" s="10" t="s">
        <v>650</v>
      </c>
      <c r="J41" s="10" t="s">
        <v>750</v>
      </c>
    </row>
    <row r="42" spans="1:10" ht="75" customHeight="1">
      <c r="A42" s="22" t="s">
        <v>751</v>
      </c>
      <c r="B42" s="10" t="s">
        <v>370</v>
      </c>
      <c r="C42" s="10" t="s">
        <v>752</v>
      </c>
      <c r="D42" s="23">
        <v>23</v>
      </c>
      <c r="E42" s="10" t="s">
        <v>753</v>
      </c>
      <c r="F42" s="10" t="s">
        <v>754</v>
      </c>
      <c r="G42" s="10" t="s">
        <v>755</v>
      </c>
      <c r="H42" s="10" t="s">
        <v>107</v>
      </c>
      <c r="I42" s="10" t="s">
        <v>656</v>
      </c>
      <c r="J42" s="10" t="s">
        <v>756</v>
      </c>
    </row>
    <row r="43" spans="1:10" ht="75" customHeight="1">
      <c r="A43" s="22" t="s">
        <v>757</v>
      </c>
      <c r="B43" s="10" t="s">
        <v>370</v>
      </c>
      <c r="C43" s="10" t="s">
        <v>758</v>
      </c>
      <c r="D43" s="23">
        <v>23</v>
      </c>
      <c r="E43" s="10" t="s">
        <v>759</v>
      </c>
      <c r="F43" s="10" t="s">
        <v>683</v>
      </c>
      <c r="G43" s="10" t="s">
        <v>760</v>
      </c>
      <c r="H43" s="10" t="s">
        <v>78</v>
      </c>
      <c r="I43" s="10" t="s">
        <v>577</v>
      </c>
      <c r="J43" s="10" t="s">
        <v>761</v>
      </c>
    </row>
    <row r="44" spans="1:10" ht="75" customHeight="1">
      <c r="A44" s="22" t="s">
        <v>762</v>
      </c>
      <c r="B44" s="10" t="s">
        <v>370</v>
      </c>
      <c r="C44" s="10" t="s">
        <v>763</v>
      </c>
      <c r="D44" s="23">
        <v>23</v>
      </c>
      <c r="E44" s="10" t="s">
        <v>764</v>
      </c>
      <c r="F44" s="10" t="s">
        <v>683</v>
      </c>
      <c r="G44" s="10" t="s">
        <v>765</v>
      </c>
      <c r="H44" s="10" t="s">
        <v>766</v>
      </c>
      <c r="I44" s="10" t="s">
        <v>577</v>
      </c>
      <c r="J44" s="10" t="s">
        <v>767</v>
      </c>
    </row>
    <row r="45" spans="1:10" ht="75" customHeight="1">
      <c r="A45" s="22" t="s">
        <v>768</v>
      </c>
      <c r="B45" s="10" t="s">
        <v>357</v>
      </c>
      <c r="C45" s="10" t="s">
        <v>769</v>
      </c>
      <c r="D45" s="23">
        <v>15</v>
      </c>
      <c r="E45" s="10" t="s">
        <v>653</v>
      </c>
      <c r="F45" s="10" t="s">
        <v>770</v>
      </c>
      <c r="G45" s="10" t="s">
        <v>771</v>
      </c>
      <c r="H45" s="10" t="s">
        <v>107</v>
      </c>
      <c r="I45" s="10" t="s">
        <v>577</v>
      </c>
      <c r="J45" s="10" t="s">
        <v>772</v>
      </c>
    </row>
    <row r="46" spans="1:10" ht="75" customHeight="1">
      <c r="A46" s="22" t="s">
        <v>773</v>
      </c>
      <c r="B46" s="10" t="s">
        <v>357</v>
      </c>
      <c r="C46" s="10" t="s">
        <v>774</v>
      </c>
      <c r="D46" s="23">
        <v>15</v>
      </c>
      <c r="E46" s="10" t="s">
        <v>743</v>
      </c>
      <c r="F46" s="10" t="s">
        <v>683</v>
      </c>
      <c r="G46" s="10" t="s">
        <v>775</v>
      </c>
      <c r="H46" s="10" t="s">
        <v>117</v>
      </c>
      <c r="I46" s="10" t="s">
        <v>577</v>
      </c>
      <c r="J46" s="10" t="s">
        <v>776</v>
      </c>
    </row>
    <row r="47" spans="1:10" ht="75" customHeight="1">
      <c r="A47" s="22" t="s">
        <v>777</v>
      </c>
      <c r="B47" s="10" t="s">
        <v>357</v>
      </c>
      <c r="C47" s="10" t="s">
        <v>778</v>
      </c>
      <c r="D47" s="23">
        <v>6</v>
      </c>
      <c r="E47" s="10" t="s">
        <v>779</v>
      </c>
      <c r="F47" s="10" t="s">
        <v>671</v>
      </c>
      <c r="G47" s="10" t="s">
        <v>780</v>
      </c>
      <c r="H47" s="10" t="s">
        <v>67</v>
      </c>
      <c r="I47" s="10" t="s">
        <v>650</v>
      </c>
      <c r="J47" s="10" t="s">
        <v>781</v>
      </c>
    </row>
    <row r="48" spans="1:10" ht="75" customHeight="1">
      <c r="A48" s="22" t="s">
        <v>782</v>
      </c>
      <c r="B48" s="10" t="s">
        <v>363</v>
      </c>
      <c r="C48" s="10" t="s">
        <v>783</v>
      </c>
      <c r="D48" s="23">
        <v>7</v>
      </c>
      <c r="E48" s="10" t="s">
        <v>784</v>
      </c>
      <c r="F48" s="10" t="s">
        <v>671</v>
      </c>
      <c r="G48" s="10" t="s">
        <v>785</v>
      </c>
      <c r="H48" s="10" t="s">
        <v>67</v>
      </c>
      <c r="I48" s="10" t="s">
        <v>646</v>
      </c>
      <c r="J48" s="10" t="s">
        <v>786</v>
      </c>
    </row>
    <row r="49" spans="1:10" ht="75" customHeight="1">
      <c r="A49" s="22" t="s">
        <v>787</v>
      </c>
      <c r="B49" s="10" t="s">
        <v>363</v>
      </c>
      <c r="C49" s="10" t="s">
        <v>788</v>
      </c>
      <c r="D49" s="23">
        <v>16</v>
      </c>
      <c r="E49" s="10" t="s">
        <v>789</v>
      </c>
      <c r="F49" s="10" t="s">
        <v>683</v>
      </c>
      <c r="G49" s="10" t="s">
        <v>790</v>
      </c>
      <c r="H49" s="10" t="s">
        <v>627</v>
      </c>
      <c r="I49" s="10" t="s">
        <v>650</v>
      </c>
      <c r="J49" s="10" t="s">
        <v>791</v>
      </c>
    </row>
    <row r="50" spans="1:10" ht="75" customHeight="1">
      <c r="A50" s="22" t="s">
        <v>792</v>
      </c>
      <c r="B50" s="10" t="s">
        <v>363</v>
      </c>
      <c r="C50" s="10" t="s">
        <v>793</v>
      </c>
      <c r="D50" s="23">
        <v>17</v>
      </c>
      <c r="E50" s="10" t="s">
        <v>794</v>
      </c>
      <c r="F50" s="10" t="s">
        <v>683</v>
      </c>
      <c r="G50" s="10" t="s">
        <v>795</v>
      </c>
      <c r="H50" s="10" t="s">
        <v>766</v>
      </c>
      <c r="I50" s="10" t="s">
        <v>577</v>
      </c>
      <c r="J50" s="10" t="s">
        <v>796</v>
      </c>
    </row>
    <row r="51" spans="1:10" ht="75" customHeight="1">
      <c r="A51" s="22" t="s">
        <v>797</v>
      </c>
      <c r="B51" s="10" t="s">
        <v>366</v>
      </c>
      <c r="C51" s="10" t="s">
        <v>798</v>
      </c>
      <c r="D51" s="23">
        <v>19</v>
      </c>
      <c r="E51" s="10" t="s">
        <v>799</v>
      </c>
      <c r="F51" s="10" t="s">
        <v>683</v>
      </c>
      <c r="G51" s="10" t="s">
        <v>800</v>
      </c>
      <c r="H51" s="10" t="s">
        <v>766</v>
      </c>
      <c r="I51" s="10" t="s">
        <v>577</v>
      </c>
      <c r="J51" s="10" t="s">
        <v>801</v>
      </c>
    </row>
    <row r="52" spans="1:10" ht="75" customHeight="1">
      <c r="A52" s="22" t="s">
        <v>802</v>
      </c>
      <c r="B52" s="10" t="s">
        <v>369</v>
      </c>
      <c r="C52" s="10" t="s">
        <v>803</v>
      </c>
      <c r="D52" s="23">
        <v>21</v>
      </c>
      <c r="E52" s="10" t="s">
        <v>660</v>
      </c>
      <c r="F52" s="10" t="s">
        <v>661</v>
      </c>
      <c r="G52" s="10" t="s">
        <v>804</v>
      </c>
      <c r="H52" s="10" t="s">
        <v>663</v>
      </c>
      <c r="I52" s="10" t="s">
        <v>577</v>
      </c>
      <c r="J52" s="10" t="s">
        <v>805</v>
      </c>
    </row>
    <row r="53" spans="1:10" ht="75" customHeight="1">
      <c r="A53" s="22" t="s">
        <v>806</v>
      </c>
      <c r="B53" s="10" t="s">
        <v>369</v>
      </c>
      <c r="C53" s="10" t="s">
        <v>807</v>
      </c>
      <c r="D53" s="23">
        <v>21</v>
      </c>
      <c r="E53" s="10" t="s">
        <v>688</v>
      </c>
      <c r="F53" s="10" t="s">
        <v>683</v>
      </c>
      <c r="G53" s="10" t="s">
        <v>808</v>
      </c>
      <c r="H53" s="10" t="s">
        <v>809</v>
      </c>
      <c r="I53" s="10" t="s">
        <v>577</v>
      </c>
      <c r="J53" s="10" t="s">
        <v>810</v>
      </c>
    </row>
    <row r="54" spans="1:10" ht="75" customHeight="1">
      <c r="A54" s="22" t="s">
        <v>811</v>
      </c>
      <c r="B54" s="10" t="s">
        <v>370</v>
      </c>
      <c r="C54" s="10" t="s">
        <v>812</v>
      </c>
      <c r="D54" s="23">
        <v>22</v>
      </c>
      <c r="E54" s="10" t="s">
        <v>813</v>
      </c>
      <c r="F54" s="10" t="s">
        <v>683</v>
      </c>
      <c r="G54" s="10" t="s">
        <v>814</v>
      </c>
      <c r="H54" s="10" t="s">
        <v>627</v>
      </c>
      <c r="I54" s="10" t="s">
        <v>650</v>
      </c>
      <c r="J54" s="10" t="s">
        <v>815</v>
      </c>
    </row>
    <row r="55" spans="1:10" ht="75" customHeight="1">
      <c r="A55" s="22" t="s">
        <v>816</v>
      </c>
      <c r="B55" s="10" t="s">
        <v>370</v>
      </c>
      <c r="C55" s="10" t="s">
        <v>817</v>
      </c>
      <c r="D55" s="23">
        <v>23</v>
      </c>
      <c r="E55" s="10" t="s">
        <v>748</v>
      </c>
      <c r="F55" s="10" t="s">
        <v>818</v>
      </c>
      <c r="G55" s="10" t="s">
        <v>819</v>
      </c>
      <c r="H55" s="10" t="s">
        <v>29</v>
      </c>
      <c r="I55" s="10" t="s">
        <v>650</v>
      </c>
      <c r="J55" s="10" t="s">
        <v>820</v>
      </c>
    </row>
    <row r="56" spans="1:10" ht="75" customHeight="1">
      <c r="A56" s="22" t="s">
        <v>821</v>
      </c>
      <c r="B56" s="10" t="s">
        <v>370</v>
      </c>
      <c r="C56" s="10" t="s">
        <v>822</v>
      </c>
      <c r="D56" s="23">
        <v>23</v>
      </c>
      <c r="E56" s="10" t="s">
        <v>743</v>
      </c>
      <c r="F56" s="10" t="s">
        <v>683</v>
      </c>
      <c r="G56" s="10" t="s">
        <v>823</v>
      </c>
      <c r="H56" s="10" t="s">
        <v>117</v>
      </c>
      <c r="I56" s="10" t="s">
        <v>577</v>
      </c>
      <c r="J56" s="10" t="s">
        <v>824</v>
      </c>
    </row>
    <row r="57" spans="1:10" ht="75" customHeight="1">
      <c r="A57" s="22" t="s">
        <v>825</v>
      </c>
      <c r="B57" s="10" t="s">
        <v>370</v>
      </c>
      <c r="C57" s="10" t="s">
        <v>826</v>
      </c>
      <c r="D57" s="23">
        <v>10</v>
      </c>
      <c r="E57" s="10" t="s">
        <v>653</v>
      </c>
      <c r="F57" s="10" t="s">
        <v>671</v>
      </c>
      <c r="G57" s="10" t="s">
        <v>827</v>
      </c>
      <c r="H57" s="10" t="s">
        <v>97</v>
      </c>
      <c r="I57" s="10" t="s">
        <v>577</v>
      </c>
      <c r="J57" s="10" t="s">
        <v>828</v>
      </c>
    </row>
    <row r="58" spans="1:10" ht="75" customHeight="1">
      <c r="A58" s="22" t="s">
        <v>829</v>
      </c>
      <c r="B58" s="10" t="s">
        <v>372</v>
      </c>
      <c r="C58" s="10" t="s">
        <v>830</v>
      </c>
      <c r="D58" s="23">
        <v>11</v>
      </c>
      <c r="E58" s="10" t="s">
        <v>784</v>
      </c>
      <c r="F58" s="10" t="s">
        <v>671</v>
      </c>
      <c r="G58" s="10" t="s">
        <v>785</v>
      </c>
      <c r="H58" s="10" t="s">
        <v>67</v>
      </c>
      <c r="I58" s="10" t="s">
        <v>646</v>
      </c>
      <c r="J58" s="10" t="s">
        <v>831</v>
      </c>
    </row>
    <row r="59" spans="1:10" ht="75" customHeight="1">
      <c r="A59" s="22" t="s">
        <v>832</v>
      </c>
      <c r="B59" s="10" t="s">
        <v>373</v>
      </c>
      <c r="C59" s="10" t="s">
        <v>833</v>
      </c>
      <c r="D59" s="23">
        <v>12</v>
      </c>
      <c r="E59" s="10" t="s">
        <v>834</v>
      </c>
      <c r="F59" s="10" t="s">
        <v>835</v>
      </c>
      <c r="G59" s="10" t="s">
        <v>836</v>
      </c>
      <c r="H59" s="10" t="s">
        <v>837</v>
      </c>
      <c r="I59" s="10" t="s">
        <v>650</v>
      </c>
      <c r="J59" s="10" t="s">
        <v>838</v>
      </c>
    </row>
    <row r="60" spans="1:10" ht="75" customHeight="1">
      <c r="A60" s="22" t="s">
        <v>839</v>
      </c>
      <c r="B60" s="10" t="s">
        <v>373</v>
      </c>
      <c r="C60" s="10" t="s">
        <v>840</v>
      </c>
      <c r="D60" s="23">
        <v>12</v>
      </c>
      <c r="E60" s="10" t="s">
        <v>841</v>
      </c>
      <c r="F60" s="10" t="s">
        <v>661</v>
      </c>
      <c r="G60" s="10" t="s">
        <v>842</v>
      </c>
      <c r="H60" s="10" t="s">
        <v>107</v>
      </c>
      <c r="I60" s="10" t="s">
        <v>650</v>
      </c>
      <c r="J60" s="10" t="s">
        <v>843</v>
      </c>
    </row>
    <row r="61" spans="1:10" ht="75" customHeight="1">
      <c r="A61" s="22" t="s">
        <v>844</v>
      </c>
      <c r="B61" s="10" t="s">
        <v>357</v>
      </c>
      <c r="C61" s="10" t="s">
        <v>387</v>
      </c>
      <c r="D61" s="23">
        <v>24</v>
      </c>
      <c r="E61" s="10" t="s">
        <v>845</v>
      </c>
      <c r="F61" s="10" t="s">
        <v>846</v>
      </c>
      <c r="G61" s="10" t="s">
        <v>847</v>
      </c>
      <c r="H61" s="10" t="s">
        <v>17</v>
      </c>
      <c r="I61" s="10" t="s">
        <v>577</v>
      </c>
      <c r="J61" s="10" t="s">
        <v>848</v>
      </c>
    </row>
    <row r="62" spans="1:10" ht="75" customHeight="1">
      <c r="A62" s="22" t="s">
        <v>849</v>
      </c>
      <c r="B62" s="10" t="s">
        <v>357</v>
      </c>
      <c r="C62" s="10" t="s">
        <v>392</v>
      </c>
      <c r="D62" s="23">
        <v>24</v>
      </c>
      <c r="E62" s="10" t="s">
        <v>845</v>
      </c>
      <c r="F62" s="10" t="s">
        <v>846</v>
      </c>
      <c r="G62" s="10" t="s">
        <v>850</v>
      </c>
      <c r="H62" s="10" t="s">
        <v>739</v>
      </c>
      <c r="I62" s="10" t="s">
        <v>577</v>
      </c>
      <c r="J62" s="10" t="s">
        <v>851</v>
      </c>
    </row>
    <row r="63" spans="1:10" ht="75" customHeight="1">
      <c r="A63" s="22" t="s">
        <v>852</v>
      </c>
      <c r="B63" s="10" t="s">
        <v>363</v>
      </c>
      <c r="C63" s="10" t="s">
        <v>396</v>
      </c>
      <c r="D63" s="23">
        <v>25</v>
      </c>
      <c r="E63" s="10" t="s">
        <v>845</v>
      </c>
      <c r="F63" s="10" t="s">
        <v>846</v>
      </c>
      <c r="G63" s="10" t="s">
        <v>853</v>
      </c>
      <c r="H63" s="10" t="s">
        <v>38</v>
      </c>
      <c r="I63" s="10" t="s">
        <v>577</v>
      </c>
      <c r="J63" s="10" t="s">
        <v>854</v>
      </c>
    </row>
    <row r="64" spans="1:10" ht="75" customHeight="1">
      <c r="A64" s="22" t="s">
        <v>855</v>
      </c>
      <c r="B64" s="10" t="s">
        <v>363</v>
      </c>
      <c r="C64" s="10" t="s">
        <v>401</v>
      </c>
      <c r="D64" s="23">
        <v>25</v>
      </c>
      <c r="E64" s="10" t="s">
        <v>845</v>
      </c>
      <c r="F64" s="10" t="s">
        <v>846</v>
      </c>
      <c r="G64" s="10" t="s">
        <v>856</v>
      </c>
      <c r="H64" s="10" t="s">
        <v>29</v>
      </c>
      <c r="I64" s="10" t="s">
        <v>646</v>
      </c>
      <c r="J64" s="10" t="s">
        <v>857</v>
      </c>
    </row>
    <row r="65" spans="1:10" ht="75" customHeight="1">
      <c r="A65" s="22" t="s">
        <v>858</v>
      </c>
      <c r="B65" s="10" t="s">
        <v>366</v>
      </c>
      <c r="C65" s="10" t="s">
        <v>405</v>
      </c>
      <c r="D65" s="23">
        <v>26</v>
      </c>
      <c r="E65" s="10" t="s">
        <v>845</v>
      </c>
      <c r="F65" s="10" t="s">
        <v>846</v>
      </c>
      <c r="G65" s="10" t="s">
        <v>859</v>
      </c>
      <c r="H65" s="10" t="s">
        <v>678</v>
      </c>
      <c r="I65" s="10" t="s">
        <v>577</v>
      </c>
      <c r="J65" s="10" t="s">
        <v>860</v>
      </c>
    </row>
    <row r="66" spans="1:10" ht="75" customHeight="1">
      <c r="A66" s="22" t="s">
        <v>861</v>
      </c>
      <c r="B66" s="10" t="s">
        <v>366</v>
      </c>
      <c r="C66" s="10" t="s">
        <v>409</v>
      </c>
      <c r="D66" s="23">
        <v>26</v>
      </c>
      <c r="E66" s="10" t="s">
        <v>845</v>
      </c>
      <c r="F66" s="10" t="s">
        <v>846</v>
      </c>
      <c r="G66" s="10" t="s">
        <v>862</v>
      </c>
      <c r="H66" s="10" t="s">
        <v>88</v>
      </c>
      <c r="I66" s="10" t="s">
        <v>577</v>
      </c>
      <c r="J66" s="10" t="s">
        <v>863</v>
      </c>
    </row>
    <row r="67" spans="1:10" ht="75" customHeight="1">
      <c r="A67" s="22" t="s">
        <v>864</v>
      </c>
      <c r="B67" s="10" t="s">
        <v>369</v>
      </c>
      <c r="C67" s="10" t="s">
        <v>413</v>
      </c>
      <c r="D67" s="23">
        <v>27</v>
      </c>
      <c r="E67" s="10" t="s">
        <v>845</v>
      </c>
      <c r="F67" s="10" t="s">
        <v>846</v>
      </c>
      <c r="G67" s="10" t="s">
        <v>865</v>
      </c>
      <c r="H67" s="10" t="s">
        <v>739</v>
      </c>
      <c r="I67" s="10" t="s">
        <v>577</v>
      </c>
      <c r="J67" s="10" t="s">
        <v>866</v>
      </c>
    </row>
    <row r="68" spans="1:10" ht="75" customHeight="1">
      <c r="A68" s="22" t="s">
        <v>867</v>
      </c>
      <c r="B68" s="10" t="s">
        <v>369</v>
      </c>
      <c r="C68" s="10" t="s">
        <v>417</v>
      </c>
      <c r="D68" s="23">
        <v>27</v>
      </c>
      <c r="E68" s="10" t="s">
        <v>845</v>
      </c>
      <c r="F68" s="10" t="s">
        <v>846</v>
      </c>
      <c r="G68" s="10" t="s">
        <v>868</v>
      </c>
      <c r="H68" s="10" t="s">
        <v>67</v>
      </c>
      <c r="I68" s="10" t="s">
        <v>577</v>
      </c>
      <c r="J68" s="10" t="s">
        <v>869</v>
      </c>
    </row>
    <row r="69" spans="1:10" ht="75" customHeight="1">
      <c r="A69" s="22" t="s">
        <v>870</v>
      </c>
      <c r="B69" s="10" t="s">
        <v>370</v>
      </c>
      <c r="C69" s="10" t="s">
        <v>422</v>
      </c>
      <c r="D69" s="23">
        <v>28</v>
      </c>
      <c r="E69" s="10" t="s">
        <v>845</v>
      </c>
      <c r="F69" s="10" t="s">
        <v>846</v>
      </c>
      <c r="G69" s="10" t="s">
        <v>871</v>
      </c>
      <c r="H69" s="10" t="s">
        <v>67</v>
      </c>
      <c r="I69" s="10" t="s">
        <v>650</v>
      </c>
      <c r="J69" s="10" t="s">
        <v>872</v>
      </c>
    </row>
    <row r="70" spans="1:10" ht="75" customHeight="1">
      <c r="A70" s="22" t="s">
        <v>873</v>
      </c>
      <c r="B70" s="10" t="s">
        <v>370</v>
      </c>
      <c r="C70" s="10" t="s">
        <v>426</v>
      </c>
      <c r="D70" s="23">
        <v>28</v>
      </c>
      <c r="E70" s="10" t="s">
        <v>845</v>
      </c>
      <c r="F70" s="10" t="s">
        <v>846</v>
      </c>
      <c r="G70" s="10" t="s">
        <v>874</v>
      </c>
      <c r="H70" s="10" t="s">
        <v>875</v>
      </c>
      <c r="I70" s="10" t="s">
        <v>577</v>
      </c>
      <c r="J70" s="10" t="s">
        <v>876</v>
      </c>
    </row>
    <row r="71" spans="1:10" ht="75" customHeight="1">
      <c r="A71" s="22" t="s">
        <v>877</v>
      </c>
      <c r="B71" s="10" t="s">
        <v>372</v>
      </c>
      <c r="C71" s="10" t="s">
        <v>430</v>
      </c>
      <c r="D71" s="23">
        <v>29</v>
      </c>
      <c r="E71" s="10" t="s">
        <v>845</v>
      </c>
      <c r="F71" s="10" t="s">
        <v>846</v>
      </c>
      <c r="G71" s="10" t="s">
        <v>878</v>
      </c>
      <c r="H71" s="10" t="s">
        <v>879</v>
      </c>
      <c r="I71" s="10" t="s">
        <v>646</v>
      </c>
      <c r="J71" s="10" t="s">
        <v>880</v>
      </c>
    </row>
    <row r="72" spans="1:10" ht="75" customHeight="1">
      <c r="A72" s="22" t="s">
        <v>881</v>
      </c>
      <c r="B72" s="10" t="s">
        <v>372</v>
      </c>
      <c r="C72" s="10" t="s">
        <v>434</v>
      </c>
      <c r="D72" s="23">
        <v>29</v>
      </c>
      <c r="E72" s="10" t="s">
        <v>845</v>
      </c>
      <c r="F72" s="10" t="s">
        <v>846</v>
      </c>
      <c r="G72" s="10" t="s">
        <v>882</v>
      </c>
      <c r="H72" s="10" t="s">
        <v>48</v>
      </c>
      <c r="I72" s="10" t="s">
        <v>577</v>
      </c>
      <c r="J72" s="10" t="s">
        <v>883</v>
      </c>
    </row>
    <row r="73" spans="1:10" ht="75" customHeight="1">
      <c r="A73" s="22" t="s">
        <v>884</v>
      </c>
      <c r="B73" s="10" t="s">
        <v>373</v>
      </c>
      <c r="C73" s="10" t="s">
        <v>438</v>
      </c>
      <c r="D73" s="23">
        <v>30</v>
      </c>
      <c r="E73" s="10" t="s">
        <v>845</v>
      </c>
      <c r="F73" s="10" t="s">
        <v>846</v>
      </c>
      <c r="G73" s="10" t="s">
        <v>885</v>
      </c>
      <c r="H73" s="10" t="s">
        <v>886</v>
      </c>
      <c r="I73" s="10" t="s">
        <v>650</v>
      </c>
      <c r="J73" s="10" t="s">
        <v>887</v>
      </c>
    </row>
    <row r="74" spans="1:10" ht="75" customHeight="1">
      <c r="A74" s="22" t="s">
        <v>888</v>
      </c>
      <c r="B74" s="10" t="s">
        <v>373</v>
      </c>
      <c r="C74" s="10" t="s">
        <v>442</v>
      </c>
      <c r="D74" s="23">
        <v>30</v>
      </c>
      <c r="E74" s="10" t="s">
        <v>845</v>
      </c>
      <c r="F74" s="10" t="s">
        <v>846</v>
      </c>
      <c r="G74" s="10" t="s">
        <v>889</v>
      </c>
      <c r="H74" s="10" t="s">
        <v>88</v>
      </c>
      <c r="I74" s="10" t="s">
        <v>577</v>
      </c>
      <c r="J74" s="10" t="s">
        <v>890</v>
      </c>
    </row>
    <row r="75" spans="1:10" ht="75" customHeight="1">
      <c r="A75" s="22" t="s">
        <v>891</v>
      </c>
      <c r="B75" s="10" t="s">
        <v>374</v>
      </c>
      <c r="C75" s="10" t="s">
        <v>446</v>
      </c>
      <c r="D75" s="23">
        <v>31</v>
      </c>
      <c r="E75" s="10" t="s">
        <v>845</v>
      </c>
      <c r="F75" s="10" t="s">
        <v>846</v>
      </c>
      <c r="G75" s="10" t="s">
        <v>892</v>
      </c>
      <c r="H75" s="10" t="s">
        <v>893</v>
      </c>
      <c r="I75" s="10" t="s">
        <v>650</v>
      </c>
      <c r="J75" s="10" t="s">
        <v>894</v>
      </c>
    </row>
    <row r="76" spans="1:10" ht="75" customHeight="1">
      <c r="A76" s="22" t="s">
        <v>895</v>
      </c>
      <c r="B76" s="10" t="s">
        <v>374</v>
      </c>
      <c r="C76" s="10" t="s">
        <v>450</v>
      </c>
      <c r="D76" s="23">
        <v>31</v>
      </c>
      <c r="E76" s="10" t="s">
        <v>845</v>
      </c>
      <c r="F76" s="10" t="s">
        <v>846</v>
      </c>
      <c r="G76" s="10" t="s">
        <v>896</v>
      </c>
      <c r="H76" s="10" t="s">
        <v>739</v>
      </c>
      <c r="I76" s="10" t="s">
        <v>577</v>
      </c>
      <c r="J76" s="10" t="s">
        <v>897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0"/>
  </sheetPr>
  <dimension ref="A1:H29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D4" sqref="D4"/>
    </sheetView>
  </sheetViews>
  <sheetFormatPr defaultRowHeight="13.5"/>
  <cols>
    <col min="1" max="1" width="9.4375" style="9" customWidth="1"/>
    <col min="2" max="2" width="24.4375" style="9" customWidth="1"/>
    <col min="3" max="3" width="12.75" style="9" customWidth="1"/>
    <col min="4" max="4" width="12.25" style="9" customWidth="1"/>
    <col min="5" max="5" width="17.25" style="9" customWidth="1"/>
    <col min="6" max="6" width="14.4375" style="9" customWidth="1"/>
    <col min="7" max="7" width="37.75" style="9" customWidth="1"/>
    <col min="8" max="8" width="31.125" style="9" customWidth="1"/>
    <col min="9" max="16384" width="9" style="9"/>
  </cols>
  <sheetData>
    <row r="1" spans="1:8" ht="28.5" customHeight="1">
      <c r="A1" s="8" t="s">
        <v>345</v>
      </c>
      <c r="B1" s="8" t="s">
        <v>898</v>
      </c>
      <c r="C1" s="8" t="s">
        <v>899</v>
      </c>
      <c r="D1" s="8" t="s">
        <v>900</v>
      </c>
      <c r="E1" s="8" t="s">
        <v>901</v>
      </c>
      <c r="F1" s="8" t="s">
        <v>346</v>
      </c>
      <c r="G1" s="8" t="s">
        <v>902</v>
      </c>
      <c r="H1" s="8" t="s">
        <v>903</v>
      </c>
    </row>
    <row r="2" spans="1:8" ht="40.5" customHeight="1">
      <c r="A2" s="18" t="s">
        <v>357</v>
      </c>
      <c r="B2" s="15" t="s">
        <v>904</v>
      </c>
      <c r="C2" s="27">
        <v>240000</v>
      </c>
      <c r="D2" s="27">
        <v>12</v>
      </c>
      <c r="E2" s="15" t="s">
        <v>905</v>
      </c>
      <c r="F2" s="15" t="s">
        <v>358</v>
      </c>
      <c r="G2" s="15" t="s">
        <v>906</v>
      </c>
      <c r="H2" s="15" t="s">
        <v>907</v>
      </c>
    </row>
    <row r="3" spans="1:8" ht="40.5" customHeight="1">
      <c r="A3" s="18" t="s">
        <v>363</v>
      </c>
      <c r="B3" s="15" t="s">
        <v>908</v>
      </c>
      <c r="C3" s="27">
        <v>480000</v>
      </c>
      <c r="D3" s="27">
        <v>28</v>
      </c>
      <c r="E3" s="15" t="s">
        <v>909</v>
      </c>
      <c r="F3" s="15" t="s">
        <v>364</v>
      </c>
      <c r="G3" s="15" t="s">
        <v>910</v>
      </c>
      <c r="H3" s="15" t="s">
        <v>907</v>
      </c>
    </row>
    <row r="4" spans="1:8" ht="40.5" customHeight="1">
      <c r="A4" s="18" t="s">
        <v>366</v>
      </c>
      <c r="B4" s="15" t="s">
        <v>911</v>
      </c>
      <c r="C4" s="27">
        <v>72000</v>
      </c>
      <c r="D4" s="27">
        <v>9</v>
      </c>
      <c r="E4" s="15" t="s">
        <v>909</v>
      </c>
      <c r="F4" s="15" t="s">
        <v>367</v>
      </c>
      <c r="G4" s="15" t="s">
        <v>912</v>
      </c>
      <c r="H4" s="15" t="s">
        <v>907</v>
      </c>
    </row>
    <row r="5" spans="1:8" ht="40.5" customHeight="1">
      <c r="A5" s="18" t="s">
        <v>369</v>
      </c>
      <c r="B5" s="15" t="s">
        <v>913</v>
      </c>
      <c r="C5" s="27">
        <v>12000</v>
      </c>
      <c r="D5" s="27">
        <v>4</v>
      </c>
      <c r="E5" s="15" t="s">
        <v>914</v>
      </c>
      <c r="F5" s="15" t="s">
        <v>358</v>
      </c>
      <c r="G5" s="15" t="s">
        <v>915</v>
      </c>
      <c r="H5" s="15" t="s">
        <v>907</v>
      </c>
    </row>
    <row r="6" spans="1:8" ht="40.5" customHeight="1">
      <c r="A6" s="18" t="s">
        <v>370</v>
      </c>
      <c r="B6" s="15" t="s">
        <v>916</v>
      </c>
      <c r="C6" s="27">
        <v>35000</v>
      </c>
      <c r="D6" s="27">
        <v>5</v>
      </c>
      <c r="E6" s="15" t="s">
        <v>914</v>
      </c>
      <c r="F6" s="15" t="s">
        <v>371</v>
      </c>
      <c r="G6" s="15" t="s">
        <v>917</v>
      </c>
      <c r="H6" s="15" t="s">
        <v>907</v>
      </c>
    </row>
    <row r="7" spans="1:8" ht="40.5" customHeight="1">
      <c r="A7" s="18" t="s">
        <v>372</v>
      </c>
      <c r="B7" s="15" t="s">
        <v>918</v>
      </c>
      <c r="C7" s="27">
        <v>185000</v>
      </c>
      <c r="D7" s="27">
        <v>8</v>
      </c>
      <c r="E7" s="15" t="s">
        <v>905</v>
      </c>
      <c r="F7" s="15" t="s">
        <v>364</v>
      </c>
      <c r="G7" s="15" t="s">
        <v>919</v>
      </c>
      <c r="H7" s="15" t="s">
        <v>920</v>
      </c>
    </row>
    <row r="8" spans="1:8" ht="40.5" customHeight="1">
      <c r="A8" s="18" t="s">
        <v>373</v>
      </c>
      <c r="B8" s="15" t="s">
        <v>921</v>
      </c>
      <c r="C8" s="27">
        <v>96000</v>
      </c>
      <c r="D8" s="27">
        <v>7</v>
      </c>
      <c r="E8" s="15" t="s">
        <v>909</v>
      </c>
      <c r="F8" s="15" t="s">
        <v>358</v>
      </c>
      <c r="G8" s="15" t="s">
        <v>922</v>
      </c>
      <c r="H8" s="15" t="s">
        <v>920</v>
      </c>
    </row>
    <row r="9" spans="1:8" ht="40.5" customHeight="1">
      <c r="A9" s="18" t="s">
        <v>374</v>
      </c>
      <c r="B9" s="15" t="s">
        <v>923</v>
      </c>
      <c r="C9" s="27">
        <v>6200</v>
      </c>
      <c r="D9" s="27">
        <v>3</v>
      </c>
      <c r="E9" s="15" t="s">
        <v>905</v>
      </c>
      <c r="F9" s="15" t="s">
        <v>367</v>
      </c>
      <c r="G9" s="15" t="s">
        <v>917</v>
      </c>
      <c r="H9" s="15" t="s">
        <v>920</v>
      </c>
    </row>
    <row r="12" spans="1:8" ht="28.5" customHeight="1">
      <c r="A12" s="22" t="s">
        <v>924</v>
      </c>
      <c r="B12" s="22" t="s">
        <v>925</v>
      </c>
      <c r="C12" s="22" t="s">
        <v>926</v>
      </c>
      <c r="D12" s="22" t="s">
        <v>927</v>
      </c>
      <c r="E12" s="22" t="s">
        <v>928</v>
      </c>
    </row>
    <row r="13" spans="1:8" ht="93.75" customHeight="1">
      <c r="A13" s="10" t="s">
        <v>929</v>
      </c>
      <c r="B13" s="10" t="s">
        <v>930</v>
      </c>
      <c r="C13" s="10" t="s">
        <v>931</v>
      </c>
      <c r="D13" s="10" t="s">
        <v>932</v>
      </c>
      <c r="E13" s="10" t="s">
        <v>933</v>
      </c>
    </row>
    <row r="14" spans="1:8" ht="93.75" customHeight="1">
      <c r="A14" s="10" t="s">
        <v>934</v>
      </c>
      <c r="B14" s="10" t="s">
        <v>935</v>
      </c>
      <c r="C14" s="10" t="s">
        <v>936</v>
      </c>
      <c r="D14" s="10" t="s">
        <v>937</v>
      </c>
      <c r="E14" s="10" t="s">
        <v>938</v>
      </c>
    </row>
    <row r="15" spans="1:8" ht="93.75" customHeight="1">
      <c r="A15" s="10" t="s">
        <v>939</v>
      </c>
      <c r="B15" s="10" t="s">
        <v>940</v>
      </c>
      <c r="C15" s="10" t="s">
        <v>941</v>
      </c>
      <c r="D15" s="10" t="s">
        <v>942</v>
      </c>
      <c r="E15" s="10" t="s">
        <v>943</v>
      </c>
    </row>
    <row r="16" spans="1:8" ht="93.75" customHeight="1">
      <c r="A16" s="10" t="s">
        <v>944</v>
      </c>
      <c r="B16" s="10" t="s">
        <v>945</v>
      </c>
      <c r="C16" s="10" t="s">
        <v>946</v>
      </c>
      <c r="D16" s="10" t="s">
        <v>947</v>
      </c>
      <c r="E16" s="10" t="s">
        <v>948</v>
      </c>
    </row>
    <row r="17" spans="1:8" ht="93.75" customHeight="1">
      <c r="A17" s="10" t="s">
        <v>949</v>
      </c>
      <c r="B17" s="10" t="s">
        <v>950</v>
      </c>
      <c r="C17" s="10" t="s">
        <v>951</v>
      </c>
      <c r="D17" s="10" t="s">
        <v>952</v>
      </c>
      <c r="E17" s="10" t="s">
        <v>953</v>
      </c>
    </row>
    <row r="18" spans="1:8" ht="93.75" customHeight="1">
      <c r="A18" s="10" t="s">
        <v>954</v>
      </c>
      <c r="B18" s="10" t="s">
        <v>955</v>
      </c>
      <c r="C18" s="10" t="s">
        <v>956</v>
      </c>
      <c r="D18" s="10" t="s">
        <v>957</v>
      </c>
      <c r="E18" s="10" t="s">
        <v>958</v>
      </c>
    </row>
    <row r="19" spans="1:8" ht="93.75" customHeight="1">
      <c r="A19" s="10" t="s">
        <v>959</v>
      </c>
      <c r="B19" s="10" t="s">
        <v>960</v>
      </c>
      <c r="C19" s="10" t="s">
        <v>961</v>
      </c>
      <c r="D19" s="10" t="s">
        <v>962</v>
      </c>
      <c r="E19" s="10" t="s">
        <v>963</v>
      </c>
    </row>
    <row r="20" spans="1:8" ht="93.75" customHeight="1">
      <c r="A20" s="10" t="s">
        <v>964</v>
      </c>
      <c r="B20" s="10" t="s">
        <v>965</v>
      </c>
      <c r="C20" s="10" t="s">
        <v>966</v>
      </c>
      <c r="D20" s="10" t="s">
        <v>967</v>
      </c>
      <c r="E20" s="10" t="s">
        <v>968</v>
      </c>
    </row>
    <row r="23" spans="1:8" ht="24" customHeight="1">
      <c r="A23" s="22" t="s">
        <v>969</v>
      </c>
      <c r="B23" s="22" t="s">
        <v>970</v>
      </c>
      <c r="C23" s="22" t="s">
        <v>971</v>
      </c>
      <c r="G23" s="24" t="s">
        <v>972</v>
      </c>
      <c r="H23" s="24" t="s">
        <v>973</v>
      </c>
    </row>
    <row r="24" spans="1:8" ht="48.75" customHeight="1">
      <c r="A24" s="10" t="s">
        <v>974</v>
      </c>
      <c r="B24" s="10" t="s">
        <v>975</v>
      </c>
      <c r="C24" s="10" t="s">
        <v>976</v>
      </c>
      <c r="G24" s="25" t="s">
        <v>19</v>
      </c>
      <c r="H24" s="25">
        <f>COUNTIFS(需求池!H2:H17,G24)</f>
        <v>7</v>
      </c>
    </row>
    <row r="25" spans="1:8" ht="48.75" customHeight="1">
      <c r="A25" s="10" t="s">
        <v>977</v>
      </c>
      <c r="B25" s="10" t="s">
        <v>978</v>
      </c>
      <c r="C25" s="10" t="s">
        <v>979</v>
      </c>
      <c r="G25" s="25" t="s">
        <v>69</v>
      </c>
      <c r="H25" s="25">
        <f>COUNTIFS(需求池!H2:H17,G25)</f>
        <v>6</v>
      </c>
    </row>
    <row r="26" spans="1:8" ht="48.75" customHeight="1">
      <c r="A26" s="10" t="s">
        <v>980</v>
      </c>
      <c r="B26" s="10" t="s">
        <v>981</v>
      </c>
      <c r="C26" s="10" t="s">
        <v>982</v>
      </c>
      <c r="G26" s="25" t="s">
        <v>138</v>
      </c>
      <c r="H26" s="25">
        <f>COUNTIFS(需求池!H2:H17,G26)</f>
        <v>3</v>
      </c>
    </row>
    <row r="27" spans="1:8" ht="48.75" customHeight="1">
      <c r="A27" s="10" t="s">
        <v>983</v>
      </c>
      <c r="B27" s="10" t="s">
        <v>984</v>
      </c>
      <c r="C27" s="10" t="s">
        <v>985</v>
      </c>
    </row>
    <row r="28" spans="1:8" ht="48.75" customHeight="1">
      <c r="A28" s="10" t="s">
        <v>986</v>
      </c>
      <c r="B28" s="10" t="s">
        <v>987</v>
      </c>
      <c r="C28" s="10" t="s">
        <v>988</v>
      </c>
      <c r="G28" s="26" t="s">
        <v>989</v>
      </c>
      <c r="H28" s="26"/>
    </row>
    <row r="29" spans="1:8" ht="48.75" customHeight="1">
      <c r="A29" s="10" t="s">
        <v>990</v>
      </c>
      <c r="B29" s="10" t="s">
        <v>991</v>
      </c>
      <c r="C29" s="10" t="s">
        <v>992</v>
      </c>
      <c r="G29" s="26" t="s">
        <v>993</v>
      </c>
      <c r="H29" s="26"/>
    </row>
  </sheetData>
  <phoneticPr fontId="3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需求池</vt:lpstr>
      <vt:lpstr>方案与验证</vt:lpstr>
      <vt:lpstr>问题归纳</vt:lpstr>
      <vt:lpstr>用户问题矩阵</vt:lpstr>
      <vt:lpstr>任务统计</vt:lpstr>
      <vt:lpstr>任务步骤</vt:lpstr>
      <vt:lpstr>证据编码</vt:lpstr>
      <vt:lpstr>样本与口径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Vincent Huang</cp:lastModifiedBy>
  <dcterms:modified xsi:type="dcterms:W3CDTF">2026-10-09T09:23:43Z</dcterms:modified>
</cp:coreProperties>
</file>